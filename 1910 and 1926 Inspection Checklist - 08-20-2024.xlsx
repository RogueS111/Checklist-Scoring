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ubbgroup-my.sharepoint.com/personal/manira_carrieri_esis_com/Documents/Desktop/"/>
    </mc:Choice>
  </mc:AlternateContent>
  <xr:revisionPtr revIDLastSave="92" documentId="8_{62565ADC-7FCE-47F3-AC58-28EA6CCF234E}" xr6:coauthVersionLast="47" xr6:coauthVersionMax="47" xr10:uidLastSave="{020A2054-30E0-48D7-AA98-4A04F94BB04C}"/>
  <bookViews>
    <workbookView xWindow="-110" yWindow="-110" windowWidth="19420" windowHeight="11620" xr2:uid="{00000000-000D-0000-FFFF-FFFF00000000}"/>
  </bookViews>
  <sheets>
    <sheet name="1926-Construction" sheetId="1" r:id="rId1"/>
  </sheets>
  <definedNames>
    <definedName name="_xlnm.Print_Area" localSheetId="0">'1926-Construction'!$A$1:$AR$217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6" i="1" l="1"/>
  <c r="R192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AJ76" i="1"/>
  <c r="AJ106" i="1" s="1"/>
  <c r="AI76" i="1"/>
  <c r="AI106" i="1" s="1"/>
  <c r="AH76" i="1"/>
  <c r="AH106" i="1" s="1"/>
  <c r="AG76" i="1"/>
  <c r="AG106" i="1" s="1"/>
  <c r="AF76" i="1"/>
  <c r="AF106" i="1" s="1"/>
  <c r="AE76" i="1"/>
  <c r="AE106" i="1" s="1"/>
  <c r="AD76" i="1"/>
  <c r="AD106" i="1" s="1"/>
  <c r="AC76" i="1"/>
  <c r="AC106" i="1" s="1"/>
  <c r="AB76" i="1"/>
  <c r="AB106" i="1" s="1"/>
  <c r="AA76" i="1"/>
  <c r="AA106" i="1" s="1"/>
  <c r="Z76" i="1"/>
  <c r="Z106" i="1" s="1"/>
  <c r="Y76" i="1"/>
  <c r="Y106" i="1" s="1"/>
  <c r="X76" i="1"/>
  <c r="X106" i="1" s="1"/>
  <c r="W76" i="1"/>
  <c r="W106" i="1" s="1"/>
  <c r="V76" i="1"/>
  <c r="V106" i="1" s="1"/>
  <c r="U76" i="1"/>
  <c r="U106" i="1" s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Q202" i="1" l="1"/>
  <c r="Q192" i="1"/>
  <c r="Q181" i="1"/>
  <c r="Q169" i="1"/>
  <c r="Q153" i="1"/>
  <c r="Q142" i="1"/>
  <c r="Q130" i="1"/>
  <c r="Q120" i="1"/>
  <c r="Q107" i="1"/>
  <c r="Q91" i="1"/>
  <c r="Q78" i="1"/>
  <c r="Q62" i="1"/>
  <c r="Q49" i="1"/>
  <c r="Q36" i="1"/>
  <c r="Q22" i="1"/>
  <c r="Q6" i="1"/>
  <c r="R202" i="1"/>
  <c r="R181" i="1"/>
  <c r="R169" i="1"/>
  <c r="R153" i="1"/>
  <c r="R142" i="1"/>
  <c r="R130" i="1"/>
  <c r="R120" i="1"/>
  <c r="R107" i="1"/>
  <c r="R91" i="1"/>
  <c r="R78" i="1"/>
  <c r="R62" i="1"/>
  <c r="R49" i="1"/>
  <c r="R22" i="1"/>
  <c r="R6" i="1"/>
  <c r="F8" i="1"/>
  <c r="F9" i="1" s="1"/>
  <c r="F23" i="1"/>
  <c r="F24" i="1"/>
  <c r="F25" i="1"/>
  <c r="F26" i="1" s="1"/>
  <c r="F27" i="1" s="1"/>
  <c r="F28" i="1" s="1"/>
  <c r="F37" i="1" s="1"/>
  <c r="F38" i="1" s="1"/>
  <c r="F39" i="1" s="1"/>
  <c r="F40" i="1" s="1"/>
  <c r="F41" i="1" s="1"/>
  <c r="F42" i="1" s="1"/>
  <c r="F43" i="1" s="1"/>
  <c r="F50" i="1" s="1"/>
  <c r="F51" i="1" s="1"/>
  <c r="F52" i="1" s="1"/>
  <c r="F53" i="1" s="1"/>
  <c r="F54" i="1" s="1"/>
  <c r="F55" i="1" s="1"/>
  <c r="F56" i="1" s="1"/>
  <c r="F63" i="1" s="1"/>
  <c r="F64" i="1" s="1"/>
  <c r="F65" i="1" s="1"/>
  <c r="F66" i="1" s="1"/>
  <c r="F67" i="1" s="1"/>
  <c r="F68" i="1" s="1"/>
  <c r="F69" i="1" s="1"/>
  <c r="F70" i="1" s="1"/>
  <c r="F79" i="1" s="1"/>
  <c r="F80" i="1" s="1"/>
  <c r="F81" i="1" s="1"/>
  <c r="F82" i="1" s="1"/>
  <c r="F83" i="1" s="1"/>
  <c r="F84" i="1" s="1"/>
  <c r="F85" i="1" s="1"/>
  <c r="F92" i="1" s="1"/>
  <c r="F93" i="1" s="1"/>
  <c r="F94" i="1" s="1"/>
  <c r="F95" i="1" s="1"/>
  <c r="F96" i="1" s="1"/>
  <c r="F97" i="1" s="1"/>
  <c r="F98" i="1" s="1"/>
  <c r="F99" i="1" s="1"/>
  <c r="F100" i="1" s="1"/>
  <c r="F108" i="1" s="1"/>
  <c r="F109" i="1" s="1"/>
  <c r="F110" i="1" s="1"/>
  <c r="F111" i="1" s="1"/>
  <c r="F112" i="1" s="1"/>
  <c r="F113" i="1" s="1"/>
  <c r="AK1" i="1" l="1"/>
  <c r="F114" i="1"/>
  <c r="F121" i="1" s="1"/>
  <c r="F122" i="1" s="1"/>
  <c r="F123" i="1" s="1"/>
  <c r="F124" i="1" s="1"/>
  <c r="F143" i="1" s="1"/>
  <c r="F144" i="1" s="1"/>
  <c r="F145" i="1" s="1"/>
  <c r="F146" i="1" s="1"/>
  <c r="F131" i="1"/>
  <c r="F132" i="1" s="1"/>
  <c r="F133" i="1" s="1"/>
  <c r="F134" i="1" s="1"/>
  <c r="F135" i="1" s="1"/>
  <c r="F147" i="1" l="1"/>
  <c r="F154" i="1"/>
  <c r="F155" i="1" s="1"/>
  <c r="F156" i="1" s="1"/>
  <c r="F157" i="1" s="1"/>
  <c r="F158" i="1" s="1"/>
  <c r="F159" i="1" s="1"/>
  <c r="F160" i="1" s="1"/>
  <c r="F161" i="1" s="1"/>
  <c r="F162" i="1" s="1"/>
  <c r="F163" i="1" s="1"/>
  <c r="F170" i="1" s="1"/>
  <c r="F171" i="1" s="1"/>
  <c r="F172" i="1" s="1"/>
  <c r="F173" i="1" s="1"/>
  <c r="F182" i="1" s="1"/>
  <c r="F183" i="1" s="1"/>
  <c r="F184" i="1" s="1"/>
  <c r="F185" i="1" l="1"/>
  <c r="F186" i="1"/>
  <c r="F193" i="1" s="1"/>
  <c r="F194" i="1" s="1"/>
  <c r="F195" i="1" s="1"/>
  <c r="F196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</calcChain>
</file>

<file path=xl/sharedStrings.xml><?xml version="1.0" encoding="utf-8"?>
<sst xmlns="http://schemas.openxmlformats.org/spreadsheetml/2006/main" count="402" uniqueCount="215">
  <si>
    <t>SAFETY COMPLAINCE SCORE</t>
  </si>
  <si>
    <t>%</t>
  </si>
  <si>
    <t>PROJECT No:</t>
  </si>
  <si>
    <t>CODE</t>
  </si>
  <si>
    <t>Satisfactory</t>
  </si>
  <si>
    <t>/</t>
  </si>
  <si>
    <t>Open</t>
  </si>
  <si>
    <t>X</t>
  </si>
  <si>
    <t>Closed</t>
  </si>
  <si>
    <t>N/A</t>
  </si>
  <si>
    <t>Not Applicable</t>
  </si>
  <si>
    <t>OSHA REF</t>
  </si>
  <si>
    <t>GENERAL SAFETY &amp; HEALTH</t>
  </si>
  <si>
    <t>.21</t>
  </si>
  <si>
    <t>Training Records</t>
  </si>
  <si>
    <t>.25</t>
  </si>
  <si>
    <t>Housekeeping</t>
  </si>
  <si>
    <t>.25( c )</t>
  </si>
  <si>
    <t>.</t>
  </si>
  <si>
    <t>Trash Disposal</t>
  </si>
  <si>
    <t>.5</t>
  </si>
  <si>
    <t xml:space="preserve">Medical and First Aid </t>
  </si>
  <si>
    <t>.51</t>
  </si>
  <si>
    <t>Drinking Water</t>
  </si>
  <si>
    <t>.51( c )</t>
  </si>
  <si>
    <t>.56</t>
  </si>
  <si>
    <t>Lighting</t>
  </si>
  <si>
    <t>.59</t>
  </si>
  <si>
    <t>(g)</t>
  </si>
  <si>
    <t>(8)</t>
  </si>
  <si>
    <t>29CFR1903.2</t>
  </si>
  <si>
    <t>Others (List)</t>
  </si>
  <si>
    <t>Comments:</t>
  </si>
  <si>
    <t>PERSONAL PROTECTIVE EQUIPMENT</t>
  </si>
  <si>
    <t>.100</t>
  </si>
  <si>
    <t>.101</t>
  </si>
  <si>
    <t>102</t>
  </si>
  <si>
    <t>Ear and Eye Protection</t>
  </si>
  <si>
    <t>.103</t>
  </si>
  <si>
    <t>Respirators and Gas Masks</t>
  </si>
  <si>
    <t>.104</t>
  </si>
  <si>
    <t>Safety Belts, Harnesses</t>
  </si>
  <si>
    <t>.105</t>
  </si>
  <si>
    <t>FIRE PROTECTION</t>
  </si>
  <si>
    <t>.150</t>
  </si>
  <si>
    <t>(c)</t>
  </si>
  <si>
    <t>(1)</t>
  </si>
  <si>
    <t>.152</t>
  </si>
  <si>
    <t>(b)</t>
  </si>
  <si>
    <t>Flammable Liquids Storage</t>
  </si>
  <si>
    <t>(a)</t>
  </si>
  <si>
    <t>Containers for Flammables</t>
  </si>
  <si>
    <t>.154</t>
  </si>
  <si>
    <t>.352</t>
  </si>
  <si>
    <t>Fireproof Tarpaulins</t>
  </si>
  <si>
    <t>ELECTRICAL</t>
  </si>
  <si>
    <t>.405</t>
  </si>
  <si>
    <t>(2)</t>
  </si>
  <si>
    <t>.951</t>
  </si>
  <si>
    <t>(f)</t>
  </si>
  <si>
    <t>Grounding of Tools &amp; Equipment</t>
  </si>
  <si>
    <t>Proper NEMA rating in hazardous areas</t>
  </si>
  <si>
    <t>Lamps Properly Guarded</t>
  </si>
  <si>
    <t>.404</t>
  </si>
  <si>
    <t>Ground Fault Protection</t>
  </si>
  <si>
    <t>Illumination</t>
  </si>
  <si>
    <t>FALL PROTECTION</t>
  </si>
  <si>
    <t>.1053</t>
  </si>
  <si>
    <t>.451</t>
  </si>
  <si>
    <t>(4)</t>
  </si>
  <si>
    <t>(d)</t>
  </si>
  <si>
    <t>(3)</t>
  </si>
  <si>
    <t>(7)</t>
  </si>
  <si>
    <t>(i)</t>
  </si>
  <si>
    <t>(5)</t>
  </si>
  <si>
    <t>.453</t>
  </si>
  <si>
    <t>Aerial Lift Training</t>
  </si>
  <si>
    <t>Aerial Lift PFAS</t>
  </si>
  <si>
    <t>.550</t>
  </si>
  <si>
    <t>(15)</t>
  </si>
  <si>
    <t>.601</t>
  </si>
  <si>
    <t>ELEVATORS, HOISTS,CONVEYORS</t>
  </si>
  <si>
    <t xml:space="preserve">.552 </t>
  </si>
  <si>
    <t>Posting of Load Capacity</t>
  </si>
  <si>
    <t>Operating Rules Posting</t>
  </si>
  <si>
    <t>Personnel Hoists - Approv. Door Lock</t>
  </si>
  <si>
    <t>(6)</t>
  </si>
  <si>
    <t>(13)</t>
  </si>
  <si>
    <t>Emergency Stop Buttons</t>
  </si>
  <si>
    <t>(17)</t>
  </si>
  <si>
    <t>Wire Rope Condition</t>
  </si>
  <si>
    <t>Machinery Enclosed</t>
  </si>
  <si>
    <t>Overhead Protection on Car</t>
  </si>
  <si>
    <t>SIGNS, SIGNALS &amp; BARRICADES</t>
  </si>
  <si>
    <t>.200</t>
  </si>
  <si>
    <t>"Warning Signs"</t>
  </si>
  <si>
    <t>Traffic Control</t>
  </si>
  <si>
    <t>.201</t>
  </si>
  <si>
    <t>Flagmen</t>
  </si>
  <si>
    <t>Caution Signals and Flashers</t>
  </si>
  <si>
    <t>.202</t>
  </si>
  <si>
    <t>Special Protective Structures</t>
  </si>
  <si>
    <t>MATERIALS HANDLING &amp; STORAGE</t>
  </si>
  <si>
    <t>.250</t>
  </si>
  <si>
    <t>.251</t>
  </si>
  <si>
    <t>EQUIPMENT</t>
  </si>
  <si>
    <t>.300</t>
  </si>
  <si>
    <t>Tread</t>
  </si>
  <si>
    <t>Hose Leaks</t>
  </si>
  <si>
    <t>(e</t>
  </si>
  <si>
    <t>Cables/Controls</t>
  </si>
  <si>
    <t>.302</t>
  </si>
  <si>
    <t>Guardrails</t>
  </si>
  <si>
    <t>TOOLS</t>
  </si>
  <si>
    <t>Guards</t>
  </si>
  <si>
    <t>Condition</t>
  </si>
  <si>
    <t>Safety Devices</t>
  </si>
  <si>
    <t>Grounding and Ground Protection</t>
  </si>
  <si>
    <t>WELDING AND CUTTING</t>
  </si>
  <si>
    <t>.350</t>
  </si>
  <si>
    <t>Caps in Place</t>
  </si>
  <si>
    <t>(9)</t>
  </si>
  <si>
    <t>Cylinders Upright and Secured</t>
  </si>
  <si>
    <t>Condition of Cable and Hoses</t>
  </si>
  <si>
    <t>.351</t>
  </si>
  <si>
    <t>Grounding</t>
  </si>
  <si>
    <t>(e)</t>
  </si>
  <si>
    <t>Shields and Barriers</t>
  </si>
  <si>
    <t>Fire Watch</t>
  </si>
  <si>
    <t>.353</t>
  </si>
  <si>
    <t>Ventilation</t>
  </si>
  <si>
    <t>Permit Issued</t>
  </si>
  <si>
    <t>EXCAVATIONS AND TRENCHES</t>
  </si>
  <si>
    <t>.651</t>
  </si>
  <si>
    <t>(j)</t>
  </si>
  <si>
    <t>Location of Excavated Material at Edge</t>
  </si>
  <si>
    <t>.652</t>
  </si>
  <si>
    <t>Shoring and Bracing</t>
  </si>
  <si>
    <t>Slopes of the Excavation</t>
  </si>
  <si>
    <t>.701</t>
  </si>
  <si>
    <t>.703</t>
  </si>
  <si>
    <t>Formwork Supports</t>
  </si>
  <si>
    <t>Stick Line (Inspection)</t>
  </si>
  <si>
    <t>PPE/PPC</t>
  </si>
  <si>
    <t>ENVIRONMENTAL PERFORMANCE</t>
  </si>
  <si>
    <t>Spill/Soil Staining</t>
  </si>
  <si>
    <t>Air Monitoring</t>
  </si>
  <si>
    <t>Placards</t>
  </si>
  <si>
    <t>Pump of Water</t>
  </si>
  <si>
    <t>DATE OF SURVEY</t>
  </si>
  <si>
    <t>Postings: Evacuation and Emergency Procedures</t>
  </si>
  <si>
    <t>Unsatisfactory</t>
  </si>
  <si>
    <t>Protection of Hostway Entrances</t>
  </si>
  <si>
    <t>Fire Protection (exiting, etc.)</t>
  </si>
  <si>
    <t>Rebar Impalement Protection</t>
  </si>
  <si>
    <t>Env. Conditions (Noise, Dust, etc.)</t>
  </si>
  <si>
    <t>Toilet Facilities</t>
  </si>
  <si>
    <t>Tags for Lock Outs</t>
  </si>
  <si>
    <t>Noise Barriers</t>
  </si>
  <si>
    <t>Sidewalk Shed Inspections</t>
  </si>
  <si>
    <t xml:space="preserve">Comments: </t>
  </si>
  <si>
    <t>Gloves</t>
  </si>
  <si>
    <t>Compressed Gas Cylinders</t>
  </si>
  <si>
    <t>HAND AND POWER TOOL</t>
  </si>
  <si>
    <t>Cords</t>
  </si>
  <si>
    <t>Poweder Actuated Tools</t>
  </si>
  <si>
    <t>Powder Line Clearance</t>
  </si>
  <si>
    <t>Griders</t>
  </si>
  <si>
    <t xml:space="preserve">                                                                                                                                                                                                   </t>
  </si>
  <si>
    <t>Safety Data Sheets Available (SDS)</t>
  </si>
  <si>
    <t>Supervisor</t>
  </si>
  <si>
    <t>Loading Dock</t>
  </si>
  <si>
    <t>29 CFR 1910</t>
  </si>
  <si>
    <t>29 CFR 1926</t>
  </si>
  <si>
    <t>CONFINED SPACE (CS)</t>
  </si>
  <si>
    <t>CS emptied of any corrosive or hazardous subtances</t>
  </si>
  <si>
    <t>Permit Required CS is monitored and documented</t>
  </si>
  <si>
    <t>Training</t>
  </si>
  <si>
    <t>.1207</t>
  </si>
  <si>
    <t>Extinguishers / Water Supply and Hose</t>
  </si>
  <si>
    <t>Hot Work Permits</t>
  </si>
  <si>
    <t>Ensure that PRCS warnings are deployed when PRCS is active</t>
  </si>
  <si>
    <t>4-Gas meter needs to be calibrated (discussed use 50% of PEL for calibration)</t>
  </si>
  <si>
    <t>B</t>
  </si>
  <si>
    <t>C</t>
  </si>
  <si>
    <t xml:space="preserve">Hard Hats. </t>
  </si>
  <si>
    <t xml:space="preserve">SAFETY COMPLIANCE - MAPING IMPROVEMENT POTENTIAL. </t>
  </si>
  <si>
    <r>
      <t xml:space="preserve">Description: </t>
    </r>
    <r>
      <rPr>
        <sz val="9"/>
        <color theme="1"/>
        <rFont val="Calibri"/>
        <family val="2"/>
        <scheme val="minor"/>
      </rPr>
      <t>ooo</t>
    </r>
  </si>
  <si>
    <t>addcutting w//handtools tc</t>
  </si>
  <si>
    <t>panel w LOTO</t>
  </si>
  <si>
    <r>
      <t xml:space="preserve">Description: </t>
    </r>
    <r>
      <rPr>
        <sz val="9"/>
        <color theme="1"/>
        <rFont val="Calibri"/>
        <family val="2"/>
        <scheme val="minor"/>
      </rPr>
      <t>ladder securement will be effectively imple,mented bu</t>
    </r>
  </si>
  <si>
    <t>mans of clamping ladders. Run mesh . Elimit trip potential</t>
  </si>
  <si>
    <t>knifes trainning needed</t>
  </si>
  <si>
    <t>Others (List) Eye wash</t>
  </si>
  <si>
    <t>CAP C Supervisor Daily Inspections</t>
  </si>
  <si>
    <t>Subcontractors</t>
  </si>
  <si>
    <t>Bldg 100</t>
  </si>
  <si>
    <t>Bldg …500</t>
  </si>
  <si>
    <t>Mechanical Train</t>
  </si>
  <si>
    <t>Electrical Train</t>
  </si>
  <si>
    <t>Plumbing Tharp</t>
  </si>
  <si>
    <r>
      <t xml:space="preserve">Comments: </t>
    </r>
    <r>
      <rPr>
        <sz val="9"/>
        <color theme="1"/>
        <rFont val="Calibri"/>
        <family val="2"/>
        <scheme val="minor"/>
      </rPr>
      <t>Tharp missing storage</t>
    </r>
  </si>
  <si>
    <t>Name</t>
  </si>
  <si>
    <t>Name and Last Name</t>
  </si>
  <si>
    <t>Duty to have fall protection</t>
  </si>
  <si>
    <t>.503</t>
  </si>
  <si>
    <t>.501</t>
  </si>
  <si>
    <t>Ladder Safety</t>
  </si>
  <si>
    <t>Fall Protection Training Requirements</t>
  </si>
  <si>
    <t>.102</t>
  </si>
  <si>
    <t>Eye and Face Protection</t>
  </si>
  <si>
    <t>General Scaffold Requirements</t>
  </si>
  <si>
    <t>Specific Excavation Requirements</t>
  </si>
  <si>
    <t>CONCRETE AND MASONARY WORK</t>
  </si>
  <si>
    <t>Construction 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</si>
</sst>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u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rgb="FF00B05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194">
    <xf numFmtId="0" fontId="0" fillId="0" borderId="0" xfId="0"/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0" xfId="0" applyFont="1"/>
    <xf numFmtId="2" fontId="3" fillId="0" borderId="0" xfId="0" quotePrefix="1" applyNumberFormat="1" applyFont="1"/>
    <xf numFmtId="0" fontId="3" fillId="0" borderId="0" xfId="0" quotePrefix="1" applyFont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8" fillId="2" borderId="3" xfId="0" applyFont="1" applyFill="1" applyBorder="1" applyAlignment="1">
      <alignment horizontal="center"/>
    </xf>
    <xf numFmtId="0" fontId="6" fillId="2" borderId="0" xfId="0" applyFont="1" applyFill="1"/>
    <xf numFmtId="0" fontId="10" fillId="2" borderId="0" xfId="0" applyFont="1" applyFill="1"/>
    <xf numFmtId="0" fontId="8" fillId="2" borderId="0" xfId="0" applyFont="1" applyFill="1"/>
    <xf numFmtId="0" fontId="11" fillId="0" borderId="3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2" fillId="2" borderId="0" xfId="0" applyFont="1" applyFill="1"/>
    <xf numFmtId="1" fontId="3" fillId="0" borderId="0" xfId="0" quotePrefix="1" applyNumberFormat="1" applyFont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4" fillId="4" borderId="1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11" fillId="0" borderId="0" xfId="0" applyFont="1" applyAlignment="1">
      <alignment horizontal="left" vertical="center" textRotation="90" wrapText="1"/>
    </xf>
    <xf numFmtId="0" fontId="9" fillId="0" borderId="0" xfId="0" applyFont="1" applyAlignment="1">
      <alignment horizontal="left" vertical="center" textRotation="90" wrapText="1"/>
    </xf>
    <xf numFmtId="0" fontId="11" fillId="0" borderId="10" xfId="0" applyFont="1" applyBorder="1" applyAlignment="1">
      <alignment horizontal="left" vertical="center" textRotation="90" wrapText="1"/>
    </xf>
    <xf numFmtId="0" fontId="11" fillId="3" borderId="3" xfId="0" applyFont="1" applyFill="1" applyBorder="1" applyAlignment="1">
      <alignment horizontal="left" vertical="center" textRotation="90" wrapText="1"/>
    </xf>
    <xf numFmtId="0" fontId="11" fillId="0" borderId="3" xfId="0" applyFont="1" applyBorder="1" applyAlignment="1">
      <alignment horizontal="left" vertical="center" textRotation="90" wrapText="1"/>
    </xf>
    <xf numFmtId="0" fontId="11" fillId="5" borderId="4" xfId="0" applyFont="1" applyFill="1" applyBorder="1" applyAlignment="1">
      <alignment horizontal="left" vertical="center" textRotation="90" wrapText="1"/>
    </xf>
    <xf numFmtId="0" fontId="11" fillId="4" borderId="11" xfId="0" applyFont="1" applyFill="1" applyBorder="1" applyAlignment="1">
      <alignment horizontal="left" vertical="center" textRotation="90" wrapText="1"/>
    </xf>
    <xf numFmtId="0" fontId="11" fillId="5" borderId="3" xfId="0" applyFont="1" applyFill="1" applyBorder="1" applyAlignment="1">
      <alignment horizontal="left" vertical="center" textRotation="90" wrapText="1"/>
    </xf>
    <xf numFmtId="0" fontId="11" fillId="0" borderId="11" xfId="0" applyFont="1" applyBorder="1" applyAlignment="1">
      <alignment horizontal="left" vertical="center" textRotation="90" wrapText="1"/>
    </xf>
    <xf numFmtId="0" fontId="16" fillId="0" borderId="3" xfId="0" quotePrefix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1" fillId="3" borderId="5" xfId="0" applyFont="1" applyFill="1" applyBorder="1" applyAlignment="1">
      <alignment horizontal="left" vertical="center" textRotation="90" wrapText="1"/>
    </xf>
    <xf numFmtId="0" fontId="4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11" fillId="0" borderId="5" xfId="0" applyFont="1" applyBorder="1" applyAlignment="1">
      <alignment horizontal="left" vertical="center" textRotation="90" wrapText="1"/>
    </xf>
    <xf numFmtId="0" fontId="20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/>
    <xf numFmtId="1" fontId="4" fillId="0" borderId="0" xfId="0" applyNumberFormat="1" applyFont="1"/>
    <xf numFmtId="1" fontId="11" fillId="0" borderId="0" xfId="0" applyNumberFormat="1" applyFont="1" applyAlignment="1">
      <alignment horizontal="left" vertical="center" textRotation="90" wrapText="1"/>
    </xf>
    <xf numFmtId="1" fontId="4" fillId="0" borderId="0" xfId="1" applyNumberFormat="1" applyFont="1"/>
    <xf numFmtId="0" fontId="11" fillId="0" borderId="3" xfId="0" applyFont="1" applyBorder="1" applyAlignment="1">
      <alignment horizontal="center" vertical="center" textRotation="90"/>
    </xf>
    <xf numFmtId="0" fontId="4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2" fontId="3" fillId="6" borderId="0" xfId="0" quotePrefix="1" applyNumberFormat="1" applyFont="1" applyFill="1"/>
    <xf numFmtId="0" fontId="3" fillId="6" borderId="0" xfId="0" applyFont="1" applyFill="1"/>
    <xf numFmtId="1" fontId="3" fillId="6" borderId="0" xfId="0" applyNumberFormat="1" applyFont="1" applyFill="1"/>
    <xf numFmtId="0" fontId="6" fillId="6" borderId="0" xfId="0" applyFont="1" applyFill="1"/>
    <xf numFmtId="0" fontId="3" fillId="6" borderId="10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2" fontId="3" fillId="6" borderId="0" xfId="0" applyNumberFormat="1" applyFont="1" applyFill="1"/>
    <xf numFmtId="0" fontId="3" fillId="6" borderId="0" xfId="0" quotePrefix="1" applyFont="1" applyFill="1"/>
    <xf numFmtId="0" fontId="11" fillId="6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2" fontId="3" fillId="7" borderId="0" xfId="0" quotePrefix="1" applyNumberFormat="1" applyFont="1" applyFill="1"/>
    <xf numFmtId="0" fontId="3" fillId="7" borderId="0" xfId="0" applyFont="1" applyFill="1"/>
    <xf numFmtId="1" fontId="3" fillId="7" borderId="0" xfId="0" applyNumberFormat="1" applyFont="1" applyFill="1"/>
    <xf numFmtId="0" fontId="6" fillId="7" borderId="0" xfId="0" applyFont="1" applyFill="1"/>
    <xf numFmtId="0" fontId="3" fillId="7" borderId="10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0" xfId="0" quotePrefix="1" applyFont="1" applyFill="1"/>
    <xf numFmtId="0" fontId="11" fillId="7" borderId="3" xfId="0" applyFont="1" applyFill="1" applyBorder="1" applyAlignment="1">
      <alignment horizontal="center"/>
    </xf>
    <xf numFmtId="0" fontId="4" fillId="7" borderId="0" xfId="0" applyFont="1" applyFill="1"/>
    <xf numFmtId="0" fontId="3" fillId="7" borderId="10" xfId="0" quotePrefix="1" applyFont="1" applyFill="1" applyBorder="1" applyAlignment="1">
      <alignment horizontal="center"/>
    </xf>
    <xf numFmtId="1" fontId="3" fillId="7" borderId="0" xfId="0" quotePrefix="1" applyNumberFormat="1" applyFont="1" applyFill="1"/>
    <xf numFmtId="0" fontId="11" fillId="7" borderId="0" xfId="0" applyFont="1" applyFill="1"/>
    <xf numFmtId="1" fontId="3" fillId="6" borderId="0" xfId="0" quotePrefix="1" applyNumberFormat="1" applyFont="1" applyFill="1"/>
    <xf numFmtId="0" fontId="22" fillId="7" borderId="5" xfId="0" quotePrefix="1" applyFont="1" applyFill="1" applyBorder="1" applyAlignment="1">
      <alignment horizontal="center"/>
    </xf>
    <xf numFmtId="0" fontId="23" fillId="7" borderId="10" xfId="0" applyFont="1" applyFill="1" applyBorder="1" applyAlignment="1">
      <alignment horizontal="center"/>
    </xf>
    <xf numFmtId="0" fontId="23" fillId="7" borderId="5" xfId="0" applyFont="1" applyFill="1" applyBorder="1" applyAlignment="1">
      <alignment horizontal="center"/>
    </xf>
    <xf numFmtId="0" fontId="23" fillId="7" borderId="3" xfId="0" applyFont="1" applyFill="1" applyBorder="1" applyAlignment="1">
      <alignment horizontal="center"/>
    </xf>
    <xf numFmtId="0" fontId="23" fillId="7" borderId="4" xfId="0" applyFont="1" applyFill="1" applyBorder="1" applyAlignment="1">
      <alignment horizontal="center"/>
    </xf>
    <xf numFmtId="0" fontId="23" fillId="7" borderId="1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0" fillId="6" borderId="0" xfId="0" applyFill="1"/>
    <xf numFmtId="0" fontId="0" fillId="7" borderId="0" xfId="0" applyFill="1"/>
    <xf numFmtId="0" fontId="4" fillId="6" borderId="0" xfId="0" applyFont="1" applyFill="1"/>
    <xf numFmtId="0" fontId="2" fillId="0" borderId="0" xfId="0" applyFont="1"/>
    <xf numFmtId="0" fontId="24" fillId="0" borderId="0" xfId="0" applyFont="1"/>
    <xf numFmtId="0" fontId="23" fillId="7" borderId="5" xfId="0" quotePrefix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26" fillId="6" borderId="3" xfId="0" quotePrefix="1" applyFont="1" applyFill="1" applyBorder="1" applyAlignment="1">
      <alignment horizontal="center"/>
    </xf>
    <xf numFmtId="0" fontId="26" fillId="3" borderId="3" xfId="0" applyFont="1" applyFill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5" borderId="4" xfId="0" applyFont="1" applyFill="1" applyBorder="1" applyAlignment="1">
      <alignment horizontal="center"/>
    </xf>
    <xf numFmtId="0" fontId="26" fillId="4" borderId="11" xfId="0" applyFont="1" applyFill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6" fillId="5" borderId="3" xfId="0" applyFont="1" applyFill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3" fillId="3" borderId="3" xfId="0" quotePrefix="1" applyFont="1" applyFill="1" applyBorder="1" applyAlignment="1">
      <alignment horizontal="center"/>
    </xf>
    <xf numFmtId="0" fontId="3" fillId="7" borderId="3" xfId="0" quotePrefix="1" applyFont="1" applyFill="1" applyBorder="1" applyAlignment="1">
      <alignment horizontal="center"/>
    </xf>
    <xf numFmtId="0" fontId="26" fillId="3" borderId="3" xfId="0" quotePrefix="1" applyFont="1" applyFill="1" applyBorder="1" applyAlignment="1">
      <alignment horizontal="center"/>
    </xf>
    <xf numFmtId="0" fontId="26" fillId="7" borderId="3" xfId="0" quotePrefix="1" applyFont="1" applyFill="1" applyBorder="1" applyAlignment="1">
      <alignment horizontal="center"/>
    </xf>
    <xf numFmtId="0" fontId="3" fillId="0" borderId="3" xfId="0" quotePrefix="1" applyFont="1" applyBorder="1" applyAlignment="1">
      <alignment horizontal="center"/>
    </xf>
    <xf numFmtId="0" fontId="26" fillId="0" borderId="5" xfId="0" quotePrefix="1" applyFont="1" applyBorder="1" applyAlignment="1">
      <alignment horizontal="center"/>
    </xf>
    <xf numFmtId="0" fontId="26" fillId="6" borderId="5" xfId="0" quotePrefix="1" applyFont="1" applyFill="1" applyBorder="1" applyAlignment="1">
      <alignment horizontal="center"/>
    </xf>
    <xf numFmtId="0" fontId="26" fillId="7" borderId="5" xfId="0" quotePrefix="1" applyFont="1" applyFill="1" applyBorder="1" applyAlignment="1">
      <alignment horizontal="center"/>
    </xf>
    <xf numFmtId="0" fontId="26" fillId="0" borderId="0" xfId="0" applyFont="1"/>
    <xf numFmtId="0" fontId="3" fillId="4" borderId="3" xfId="0" applyFont="1" applyFill="1" applyBorder="1" applyAlignment="1">
      <alignment horizontal="center"/>
    </xf>
    <xf numFmtId="2" fontId="3" fillId="4" borderId="0" xfId="0" quotePrefix="1" applyNumberFormat="1" applyFont="1" applyFill="1"/>
    <xf numFmtId="0" fontId="3" fillId="4" borderId="0" xfId="0" applyFont="1" applyFill="1"/>
    <xf numFmtId="1" fontId="3" fillId="4" borderId="0" xfId="0" applyNumberFormat="1" applyFont="1" applyFill="1"/>
    <xf numFmtId="0" fontId="6" fillId="4" borderId="0" xfId="0" applyFont="1" applyFill="1"/>
    <xf numFmtId="0" fontId="3" fillId="4" borderId="10" xfId="0" quotePrefix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4" fillId="4" borderId="0" xfId="0" applyFont="1" applyFill="1"/>
    <xf numFmtId="0" fontId="26" fillId="4" borderId="5" xfId="0" quotePrefix="1" applyFont="1" applyFill="1" applyBorder="1" applyAlignment="1">
      <alignment horizontal="center"/>
    </xf>
    <xf numFmtId="0" fontId="11" fillId="4" borderId="0" xfId="0" applyFont="1" applyFill="1" applyAlignment="1">
      <alignment horizontal="left" vertical="center" textRotation="90" wrapText="1"/>
    </xf>
    <xf numFmtId="0" fontId="11" fillId="0" borderId="2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4" borderId="20" xfId="0" applyFont="1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1" fontId="1" fillId="2" borderId="4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0" fillId="2" borderId="0" xfId="0" applyFont="1" applyFill="1"/>
    <xf numFmtId="0" fontId="0" fillId="0" borderId="0" xfId="0"/>
    <xf numFmtId="9" fontId="8" fillId="2" borderId="4" xfId="1" applyFont="1" applyFill="1" applyBorder="1" applyAlignment="1">
      <alignment horizontal="center" vertical="center"/>
    </xf>
    <xf numFmtId="9" fontId="8" fillId="2" borderId="5" xfId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19" xfId="0" applyBorder="1" applyAlignment="1">
      <alignment horizontal="right" vertical="center" wrapText="1"/>
    </xf>
    <xf numFmtId="0" fontId="20" fillId="0" borderId="0" xfId="0" applyFont="1" applyAlignment="1">
      <alignment horizontal="right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textRotation="90" wrapText="1"/>
    </xf>
    <xf numFmtId="0" fontId="17" fillId="0" borderId="1" xfId="0" applyFont="1" applyBorder="1" applyAlignment="1">
      <alignment horizontal="center" vertical="center" textRotation="90" wrapText="1"/>
    </xf>
    <xf numFmtId="0" fontId="16" fillId="0" borderId="6" xfId="0" applyFont="1" applyBorder="1" applyAlignment="1">
      <alignment horizontal="center" vertical="center" textRotation="90" wrapText="1"/>
    </xf>
    <xf numFmtId="0" fontId="16" fillId="0" borderId="1" xfId="0" applyFont="1" applyBorder="1" applyAlignment="1">
      <alignment horizontal="center" vertical="center" textRotation="90" wrapText="1"/>
    </xf>
    <xf numFmtId="9" fontId="21" fillId="2" borderId="4" xfId="1" applyFont="1" applyFill="1" applyBorder="1" applyAlignment="1">
      <alignment horizontal="center" vertical="center"/>
    </xf>
    <xf numFmtId="9" fontId="21" fillId="2" borderId="5" xfId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1" fillId="0" borderId="6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 textRotation="90" wrapText="1"/>
    </xf>
    <xf numFmtId="0" fontId="18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3" fillId="7" borderId="0" xfId="0" applyFont="1" applyFill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quotePrefix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CC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B231"/>
  <sheetViews>
    <sheetView tabSelected="1" zoomScale="150" zoomScaleNormal="150" zoomScaleSheetLayoutView="160" workbookViewId="0">
      <selection activeCell="P188" sqref="P188"/>
    </sheetView>
  </sheetViews>
  <sheetFormatPr defaultColWidth="2.7265625" defaultRowHeight="12" x14ac:dyDescent="0.3"/>
  <cols>
    <col min="1" max="1" width="5.26953125" style="11" customWidth="1"/>
    <col min="2" max="2" width="4.54296875" style="1" customWidth="1"/>
    <col min="3" max="5" width="2.7265625" style="1"/>
    <col min="6" max="6" width="3.54296875" style="1" bestFit="1" customWidth="1"/>
    <col min="7" max="16" width="2.7265625" style="1"/>
    <col min="17" max="17" width="0.26953125" style="64" customWidth="1"/>
    <col min="18" max="18" width="1.453125" style="34" customWidth="1"/>
    <col min="19" max="19" width="5.7265625" style="34" customWidth="1"/>
    <col min="20" max="20" width="3.81640625" style="1" customWidth="1"/>
    <col min="21" max="44" width="2.54296875" style="1" customWidth="1"/>
    <col min="45" max="16384" width="2.7265625" style="1"/>
  </cols>
  <sheetData>
    <row r="1" spans="1:52" ht="28" customHeight="1" x14ac:dyDescent="0.3">
      <c r="A1" s="177" t="s">
        <v>186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X1" s="163" t="s">
        <v>0</v>
      </c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5"/>
      <c r="AK1" s="147">
        <f>Q6+Q22+Q36+Q107+Q120+Q130+Q142+Q153+Q49+Q62+Q78+Q91+Q169+Q181+Q192+Q202+9</f>
        <v>100</v>
      </c>
      <c r="AL1" s="148"/>
      <c r="AM1" s="18" t="s">
        <v>1</v>
      </c>
    </row>
    <row r="2" spans="1:52" s="21" customFormat="1" ht="31.5" customHeight="1" x14ac:dyDescent="0.35">
      <c r="A2" s="159" t="s">
        <v>2</v>
      </c>
      <c r="B2" s="184"/>
      <c r="C2" s="160"/>
      <c r="E2" s="180" t="s">
        <v>202</v>
      </c>
      <c r="F2" s="181"/>
      <c r="G2" s="181"/>
      <c r="H2" s="181"/>
      <c r="I2" s="182"/>
      <c r="L2" s="159" t="s">
        <v>170</v>
      </c>
      <c r="M2" s="160"/>
      <c r="N2" s="160"/>
      <c r="O2" s="160"/>
      <c r="P2" s="160"/>
      <c r="Q2" s="63"/>
      <c r="R2" s="167" t="s">
        <v>203</v>
      </c>
      <c r="S2" s="168"/>
      <c r="T2" s="168"/>
      <c r="U2" s="168"/>
      <c r="V2" s="168"/>
      <c r="W2" s="168"/>
      <c r="X2" s="168"/>
      <c r="Y2" s="168"/>
      <c r="Z2" s="168"/>
      <c r="AA2" s="169"/>
      <c r="AB2" s="170"/>
      <c r="AC2" s="163" t="s">
        <v>149</v>
      </c>
      <c r="AD2" s="166"/>
      <c r="AE2" s="166"/>
      <c r="AF2" s="166"/>
      <c r="AG2" s="166"/>
      <c r="AH2" s="166"/>
      <c r="AI2" s="166"/>
      <c r="AJ2" s="62"/>
      <c r="AK2" s="188">
        <v>8</v>
      </c>
      <c r="AL2" s="189"/>
      <c r="AM2" s="190">
        <v>21</v>
      </c>
      <c r="AN2" s="191"/>
      <c r="AO2" s="191">
        <v>24</v>
      </c>
      <c r="AP2" s="191"/>
    </row>
    <row r="3" spans="1:52" ht="12.5" thickBot="1" x14ac:dyDescent="0.35"/>
    <row r="4" spans="1:52" s="3" customFormat="1" ht="22.5" customHeight="1" thickBot="1" x14ac:dyDescent="0.35">
      <c r="A4" s="183" t="s">
        <v>3</v>
      </c>
      <c r="B4" s="183"/>
      <c r="D4" s="13">
        <v>1</v>
      </c>
      <c r="E4" s="16" t="s">
        <v>4</v>
      </c>
      <c r="F4" s="16"/>
      <c r="G4" s="16"/>
      <c r="H4" s="16"/>
      <c r="K4" s="13">
        <v>0</v>
      </c>
      <c r="L4" s="16" t="s">
        <v>151</v>
      </c>
      <c r="M4" s="16"/>
      <c r="N4" s="16"/>
      <c r="O4" s="16"/>
      <c r="P4" s="16"/>
      <c r="Q4" s="65"/>
      <c r="R4" s="35"/>
      <c r="S4" s="35"/>
      <c r="U4" s="153" t="s">
        <v>196</v>
      </c>
      <c r="V4" s="154"/>
      <c r="W4" s="154"/>
      <c r="X4" s="154"/>
      <c r="Y4" s="154"/>
      <c r="Z4" s="154"/>
      <c r="AA4" s="154"/>
      <c r="AB4" s="154"/>
      <c r="AC4" s="155"/>
      <c r="AD4" s="156" t="s">
        <v>197</v>
      </c>
      <c r="AE4" s="157"/>
      <c r="AF4" s="157"/>
      <c r="AG4" s="157"/>
      <c r="AH4" s="157"/>
      <c r="AI4" s="157"/>
      <c r="AJ4" s="158"/>
      <c r="AK4" s="161" t="s">
        <v>195</v>
      </c>
      <c r="AL4" s="162"/>
      <c r="AM4" s="162"/>
      <c r="AN4" s="162"/>
      <c r="AO4" s="162"/>
      <c r="AP4" s="162"/>
      <c r="AQ4" s="192">
        <v>0</v>
      </c>
      <c r="AR4" s="193"/>
    </row>
    <row r="5" spans="1:52" s="45" customFormat="1" ht="70.5" customHeight="1" x14ac:dyDescent="0.35">
      <c r="A5" s="45" t="s">
        <v>172</v>
      </c>
      <c r="B5" s="45" t="s">
        <v>173</v>
      </c>
      <c r="D5" s="54" t="s">
        <v>5</v>
      </c>
      <c r="E5" s="173" t="s">
        <v>6</v>
      </c>
      <c r="F5" s="174"/>
      <c r="G5" s="55"/>
      <c r="H5" s="56" t="s">
        <v>7</v>
      </c>
      <c r="I5" s="171" t="s">
        <v>8</v>
      </c>
      <c r="J5" s="172"/>
      <c r="L5" s="68" t="s">
        <v>9</v>
      </c>
      <c r="M5" s="178" t="s">
        <v>10</v>
      </c>
      <c r="N5" s="179"/>
      <c r="Q5" s="66"/>
      <c r="R5" s="46"/>
      <c r="S5" s="46"/>
      <c r="U5" s="47" t="s">
        <v>198</v>
      </c>
      <c r="V5" s="57" t="s">
        <v>199</v>
      </c>
      <c r="W5" s="61" t="s">
        <v>200</v>
      </c>
      <c r="X5" s="48" t="s">
        <v>183</v>
      </c>
      <c r="Y5" s="61" t="s">
        <v>184</v>
      </c>
      <c r="Z5" s="48"/>
      <c r="AA5" s="61"/>
      <c r="AB5" s="48"/>
      <c r="AC5" s="61" t="s">
        <v>171</v>
      </c>
      <c r="AD5" s="48"/>
      <c r="AE5" s="47" t="s">
        <v>198</v>
      </c>
      <c r="AF5" s="57" t="s">
        <v>199</v>
      </c>
      <c r="AG5" s="61" t="s">
        <v>200</v>
      </c>
      <c r="AH5" s="48"/>
      <c r="AI5" s="61"/>
      <c r="AJ5" s="48"/>
      <c r="AU5" s="45" t="s">
        <v>168</v>
      </c>
    </row>
    <row r="6" spans="1:52" s="3" customFormat="1" ht="12" customHeight="1" x14ac:dyDescent="0.35">
      <c r="A6" s="9"/>
      <c r="B6" s="4"/>
      <c r="F6" s="149" t="s">
        <v>12</v>
      </c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67">
        <f>SUM(A7:A16)</f>
        <v>9</v>
      </c>
      <c r="R6" s="175">
        <f>SUM((A7:A16))/9</f>
        <v>1</v>
      </c>
      <c r="S6" s="176"/>
      <c r="U6" s="23"/>
      <c r="V6" s="58"/>
      <c r="W6" s="69"/>
      <c r="X6" s="24"/>
      <c r="Y6" s="25"/>
      <c r="Z6" s="24"/>
      <c r="AA6" s="25"/>
      <c r="AB6" s="39"/>
      <c r="AC6" s="36"/>
      <c r="AD6" s="23"/>
      <c r="AE6" s="24"/>
      <c r="AF6" s="25"/>
      <c r="AG6" s="42"/>
      <c r="AH6" s="25"/>
      <c r="AI6" s="24"/>
      <c r="AJ6" s="26"/>
      <c r="AK6" s="143"/>
      <c r="AL6" s="144"/>
      <c r="AM6" s="144"/>
      <c r="AN6" s="144"/>
      <c r="AO6" s="144"/>
      <c r="AP6" s="144"/>
      <c r="AQ6" s="144"/>
      <c r="AR6" s="144"/>
    </row>
    <row r="7" spans="1:52" s="74" customFormat="1" ht="12" customHeight="1" x14ac:dyDescent="0.3">
      <c r="A7" s="72">
        <v>1</v>
      </c>
      <c r="B7" s="73" t="s">
        <v>13</v>
      </c>
      <c r="F7" s="74">
        <v>1</v>
      </c>
      <c r="G7" s="74" t="s">
        <v>14</v>
      </c>
      <c r="Q7" s="75"/>
      <c r="R7" s="76"/>
      <c r="S7" s="76"/>
      <c r="U7" s="77"/>
      <c r="V7" s="78"/>
      <c r="W7" s="78"/>
      <c r="X7" s="72"/>
      <c r="Y7" s="72"/>
      <c r="Z7" s="72"/>
      <c r="AA7" s="72"/>
      <c r="AB7" s="79"/>
      <c r="AC7" s="80"/>
      <c r="AD7" s="77"/>
      <c r="AE7" s="72"/>
      <c r="AF7" s="72"/>
      <c r="AG7" s="72"/>
      <c r="AH7" s="72"/>
      <c r="AI7" s="72"/>
      <c r="AJ7" s="80"/>
      <c r="AK7" s="143"/>
      <c r="AL7" s="144"/>
      <c r="AM7" s="144"/>
      <c r="AN7" s="144"/>
      <c r="AO7" s="144"/>
      <c r="AP7" s="144"/>
      <c r="AQ7" s="144"/>
      <c r="AR7" s="144"/>
      <c r="AS7" s="3"/>
      <c r="AX7" s="109"/>
      <c r="AY7" s="109"/>
      <c r="AZ7" s="109"/>
    </row>
    <row r="8" spans="1:52" s="133" customFormat="1" ht="12" customHeight="1" x14ac:dyDescent="0.3">
      <c r="A8" s="131">
        <v>1</v>
      </c>
      <c r="B8" s="132" t="s">
        <v>15</v>
      </c>
      <c r="F8" s="133">
        <f>F7+1</f>
        <v>2</v>
      </c>
      <c r="G8" s="133" t="s">
        <v>16</v>
      </c>
      <c r="Q8" s="134"/>
      <c r="R8" s="135"/>
      <c r="S8" s="135"/>
      <c r="U8" s="136"/>
      <c r="Y8" s="137"/>
      <c r="Z8" s="131"/>
      <c r="AA8" s="131"/>
      <c r="AB8" s="138"/>
      <c r="AC8" s="37"/>
      <c r="AD8" s="139"/>
      <c r="AE8" s="131"/>
      <c r="AF8" s="131"/>
      <c r="AG8" s="131"/>
      <c r="AH8" s="131"/>
      <c r="AI8" s="131"/>
      <c r="AJ8" s="37"/>
      <c r="AK8" s="145"/>
      <c r="AL8" s="146"/>
      <c r="AM8" s="146"/>
      <c r="AN8" s="146"/>
      <c r="AO8" s="146"/>
      <c r="AP8" s="146"/>
      <c r="AQ8" s="146"/>
      <c r="AR8" s="146"/>
      <c r="AS8" s="140"/>
      <c r="AX8" s="140"/>
      <c r="AY8" s="140"/>
      <c r="AZ8" s="140"/>
    </row>
    <row r="9" spans="1:52" s="86" customFormat="1" ht="12" customHeight="1" x14ac:dyDescent="0.3">
      <c r="A9" s="84">
        <v>1</v>
      </c>
      <c r="B9" s="85" t="s">
        <v>17</v>
      </c>
      <c r="E9" s="86" t="s">
        <v>18</v>
      </c>
      <c r="F9" s="86">
        <f>F8+1</f>
        <v>3</v>
      </c>
      <c r="G9" s="86" t="s">
        <v>19</v>
      </c>
      <c r="Q9" s="87"/>
      <c r="R9" s="88"/>
      <c r="S9" s="88"/>
      <c r="U9" s="89"/>
      <c r="V9" s="100"/>
      <c r="W9" s="90"/>
      <c r="X9" s="84"/>
      <c r="Y9" s="84"/>
      <c r="Z9" s="84"/>
      <c r="AA9" s="84"/>
      <c r="AB9" s="91"/>
      <c r="AC9" s="92"/>
      <c r="AD9" s="89"/>
      <c r="AE9" s="84"/>
      <c r="AF9" s="84"/>
      <c r="AG9" s="84"/>
      <c r="AH9" s="84"/>
      <c r="AI9" s="84"/>
      <c r="AJ9" s="92"/>
      <c r="AK9" s="143"/>
      <c r="AL9" s="144"/>
      <c r="AM9" s="144"/>
      <c r="AN9" s="144"/>
      <c r="AO9" s="144"/>
      <c r="AP9" s="144"/>
      <c r="AQ9" s="144"/>
      <c r="AR9" s="144"/>
      <c r="AS9" s="3"/>
      <c r="AX9" s="95"/>
      <c r="AY9" s="95"/>
      <c r="AZ9" s="95"/>
    </row>
    <row r="10" spans="1:52" ht="12" customHeight="1" x14ac:dyDescent="0.3">
      <c r="A10" s="8">
        <v>1</v>
      </c>
      <c r="B10" s="5" t="s">
        <v>20</v>
      </c>
      <c r="F10" s="1">
        <v>4</v>
      </c>
      <c r="G10" s="1" t="s">
        <v>21</v>
      </c>
      <c r="U10" s="27"/>
      <c r="V10" s="59"/>
      <c r="W10" s="70"/>
      <c r="X10" s="28"/>
      <c r="Y10" s="8"/>
      <c r="Z10" s="28"/>
      <c r="AA10" s="8"/>
      <c r="AB10" s="40"/>
      <c r="AC10" s="37"/>
      <c r="AD10" s="27"/>
      <c r="AE10" s="28"/>
      <c r="AF10" s="8"/>
      <c r="AG10" s="43"/>
      <c r="AH10" s="8"/>
      <c r="AI10" s="28"/>
      <c r="AJ10" s="29"/>
      <c r="AK10" s="143"/>
      <c r="AL10" s="144"/>
      <c r="AM10" s="144"/>
      <c r="AN10" s="144"/>
      <c r="AO10" s="144"/>
      <c r="AP10" s="144"/>
      <c r="AQ10" s="144"/>
      <c r="AR10" s="144"/>
      <c r="AS10" s="3"/>
      <c r="AX10" s="3"/>
      <c r="AY10" s="3"/>
      <c r="AZ10" s="3"/>
    </row>
    <row r="11" spans="1:52" s="74" customFormat="1" ht="12" customHeight="1" x14ac:dyDescent="0.3">
      <c r="A11" s="72">
        <v>1</v>
      </c>
      <c r="B11" s="73" t="s">
        <v>22</v>
      </c>
      <c r="F11" s="74">
        <v>5</v>
      </c>
      <c r="G11" s="74" t="s">
        <v>23</v>
      </c>
      <c r="Q11" s="75"/>
      <c r="R11" s="76"/>
      <c r="S11" s="76"/>
      <c r="U11" s="77"/>
      <c r="V11" s="78"/>
      <c r="W11" s="78"/>
      <c r="X11" s="72"/>
      <c r="Y11" s="72"/>
      <c r="Z11" s="72"/>
      <c r="AA11" s="72"/>
      <c r="AB11" s="79"/>
      <c r="AC11" s="80"/>
      <c r="AD11" s="77"/>
      <c r="AE11" s="72"/>
      <c r="AF11" s="72"/>
      <c r="AG11" s="72"/>
      <c r="AH11" s="72"/>
      <c r="AI11" s="72"/>
      <c r="AJ11" s="80"/>
      <c r="AK11" s="143"/>
      <c r="AL11" s="144"/>
      <c r="AM11" s="144"/>
      <c r="AN11" s="144"/>
      <c r="AO11" s="144"/>
      <c r="AP11" s="144"/>
      <c r="AQ11" s="144"/>
      <c r="AR11" s="144"/>
      <c r="AS11" s="3"/>
      <c r="AX11" s="109"/>
      <c r="AY11" s="109"/>
      <c r="AZ11" s="109"/>
    </row>
    <row r="12" spans="1:52" ht="12" customHeight="1" x14ac:dyDescent="0.3">
      <c r="A12" s="8">
        <v>1</v>
      </c>
      <c r="B12" s="5" t="s">
        <v>24</v>
      </c>
      <c r="F12" s="1">
        <v>6</v>
      </c>
      <c r="G12" s="1" t="s">
        <v>156</v>
      </c>
      <c r="U12" s="27"/>
      <c r="V12" s="59"/>
      <c r="W12" s="70"/>
      <c r="X12" s="28"/>
      <c r="Y12" s="8"/>
      <c r="Z12" s="28"/>
      <c r="AA12" s="8"/>
      <c r="AB12" s="40"/>
      <c r="AC12" s="37"/>
      <c r="AD12" s="27"/>
      <c r="AE12" s="28"/>
      <c r="AF12" s="8"/>
      <c r="AG12" s="43"/>
      <c r="AH12" s="8"/>
      <c r="AI12" s="28"/>
      <c r="AJ12" s="29"/>
      <c r="AK12" s="45"/>
      <c r="AL12" s="45"/>
      <c r="AM12" s="45"/>
      <c r="AN12" s="45"/>
      <c r="AO12" s="45"/>
      <c r="AP12" s="45"/>
      <c r="AQ12" s="45"/>
      <c r="AR12" s="45"/>
      <c r="AS12" s="3"/>
      <c r="AX12" s="3"/>
      <c r="AY12" s="3"/>
      <c r="AZ12" s="3"/>
    </row>
    <row r="13" spans="1:52" s="86" customFormat="1" ht="12" customHeight="1" x14ac:dyDescent="0.3">
      <c r="A13" s="84">
        <v>1</v>
      </c>
      <c r="B13" s="85" t="s">
        <v>25</v>
      </c>
      <c r="F13" s="86">
        <v>7</v>
      </c>
      <c r="G13" s="86" t="s">
        <v>26</v>
      </c>
      <c r="Q13" s="87"/>
      <c r="R13" s="88"/>
      <c r="S13" s="88"/>
      <c r="U13" s="89"/>
      <c r="V13" s="90"/>
      <c r="W13" s="90"/>
      <c r="X13" s="84"/>
      <c r="Y13" s="84"/>
      <c r="Z13" s="84"/>
      <c r="AA13" s="84"/>
      <c r="AB13" s="91"/>
      <c r="AC13" s="92"/>
      <c r="AD13" s="89"/>
      <c r="AE13" s="84"/>
      <c r="AF13" s="84"/>
      <c r="AG13" s="84"/>
      <c r="AH13" s="84"/>
      <c r="AI13" s="84"/>
      <c r="AJ13" s="92"/>
      <c r="AK13" s="45"/>
      <c r="AL13" s="45"/>
      <c r="AM13" s="45"/>
      <c r="AN13" s="45"/>
      <c r="AO13" s="45"/>
      <c r="AP13" s="45"/>
      <c r="AQ13" s="45"/>
      <c r="AR13" s="45"/>
      <c r="AS13" s="3"/>
      <c r="AX13" s="95"/>
      <c r="AY13" s="95"/>
      <c r="AZ13" s="95"/>
    </row>
    <row r="14" spans="1:52" ht="12" customHeight="1" x14ac:dyDescent="0.3">
      <c r="A14" s="8">
        <v>1</v>
      </c>
      <c r="B14" s="5" t="s">
        <v>27</v>
      </c>
      <c r="C14" s="1" t="s">
        <v>28</v>
      </c>
      <c r="D14" s="6" t="s">
        <v>29</v>
      </c>
      <c r="F14" s="1">
        <v>8</v>
      </c>
      <c r="G14" s="1" t="s">
        <v>169</v>
      </c>
      <c r="U14" s="27"/>
      <c r="V14" s="59"/>
      <c r="W14" s="70"/>
      <c r="X14" s="28"/>
      <c r="Y14" s="8"/>
      <c r="Z14" s="122"/>
      <c r="AA14" s="8"/>
      <c r="AB14" s="40"/>
      <c r="AC14" s="37"/>
      <c r="AD14" s="27"/>
      <c r="AE14" s="28"/>
      <c r="AF14" s="8"/>
      <c r="AG14" s="43"/>
      <c r="AH14" s="8"/>
      <c r="AI14" s="28"/>
      <c r="AJ14" s="29"/>
      <c r="AK14" s="45"/>
      <c r="AL14" s="45"/>
      <c r="AM14" s="45"/>
      <c r="AN14" s="45"/>
      <c r="AO14" s="45"/>
      <c r="AP14" s="45"/>
      <c r="AQ14" s="45"/>
      <c r="AR14" s="45"/>
      <c r="AS14" s="3"/>
      <c r="AX14" s="3"/>
      <c r="AY14" s="3"/>
      <c r="AZ14" s="3"/>
    </row>
    <row r="15" spans="1:52" s="74" customFormat="1" ht="12" customHeight="1" x14ac:dyDescent="0.3">
      <c r="A15" s="72">
        <v>1</v>
      </c>
      <c r="B15" s="81" t="s">
        <v>30</v>
      </c>
      <c r="F15" s="74">
        <v>9</v>
      </c>
      <c r="G15" s="74" t="s">
        <v>150</v>
      </c>
      <c r="Q15" s="75"/>
      <c r="R15" s="76"/>
      <c r="S15" s="76"/>
      <c r="U15" s="77"/>
      <c r="V15" s="78"/>
      <c r="W15" s="78"/>
      <c r="X15" s="72"/>
      <c r="Y15" s="72"/>
      <c r="Z15" s="72"/>
      <c r="AA15" s="72"/>
      <c r="AB15" s="79"/>
      <c r="AC15" s="80"/>
      <c r="AD15" s="77"/>
      <c r="AE15" s="72"/>
      <c r="AF15" s="72"/>
      <c r="AG15" s="72"/>
      <c r="AH15" s="72"/>
      <c r="AI15" s="72"/>
      <c r="AJ15" s="80"/>
      <c r="AK15" s="45"/>
      <c r="AL15" s="45"/>
      <c r="AM15" s="45"/>
      <c r="AN15" s="45"/>
      <c r="AO15" s="45"/>
      <c r="AP15" s="45"/>
      <c r="AQ15" s="45"/>
      <c r="AR15" s="45"/>
      <c r="AS15" s="3"/>
      <c r="AX15" s="109"/>
      <c r="AY15" s="109"/>
      <c r="AZ15" s="109"/>
    </row>
    <row r="16" spans="1:52" ht="12" customHeight="1" x14ac:dyDescent="0.3">
      <c r="A16" s="8"/>
      <c r="B16" s="5"/>
      <c r="F16" s="1">
        <v>10</v>
      </c>
      <c r="G16" s="1" t="s">
        <v>159</v>
      </c>
      <c r="U16" s="27"/>
      <c r="V16" s="59"/>
      <c r="W16" s="70"/>
      <c r="X16" s="28"/>
      <c r="Y16" s="8"/>
      <c r="Z16" s="28"/>
      <c r="AA16" s="8"/>
      <c r="AB16" s="40"/>
      <c r="AC16" s="37"/>
      <c r="AD16" s="27"/>
      <c r="AE16" s="28"/>
      <c r="AF16" s="8"/>
      <c r="AG16" s="43"/>
      <c r="AH16" s="8"/>
      <c r="AI16" s="28"/>
      <c r="AJ16" s="29"/>
      <c r="AK16" s="45"/>
      <c r="AL16" s="45"/>
      <c r="AM16" s="45"/>
      <c r="AN16" s="45"/>
      <c r="AO16" s="45"/>
      <c r="AP16" s="45"/>
      <c r="AQ16" s="45"/>
      <c r="AR16" s="45"/>
      <c r="AS16" s="3"/>
      <c r="AX16" s="3"/>
      <c r="AY16" s="3"/>
      <c r="AZ16" s="3"/>
    </row>
    <row r="17" spans="1:52" ht="12" customHeight="1" x14ac:dyDescent="0.3">
      <c r="U17" s="27"/>
      <c r="V17" s="59"/>
      <c r="W17" s="70"/>
      <c r="X17" s="28"/>
      <c r="Y17" s="8"/>
      <c r="Z17" s="28"/>
      <c r="AA17" s="8"/>
      <c r="AB17" s="40"/>
      <c r="AC17" s="37"/>
      <c r="AD17" s="27"/>
      <c r="AE17" s="28"/>
      <c r="AF17" s="8"/>
      <c r="AG17" s="43"/>
      <c r="AH17" s="8"/>
      <c r="AI17" s="28"/>
      <c r="AJ17" s="29"/>
      <c r="AK17" s="45"/>
      <c r="AL17" s="45"/>
      <c r="AM17" s="45"/>
      <c r="AN17" s="45"/>
      <c r="AO17" s="45"/>
      <c r="AP17" s="45"/>
      <c r="AQ17" s="45"/>
      <c r="AR17" s="45"/>
      <c r="AS17" s="3"/>
      <c r="AT17" s="86"/>
      <c r="AU17" s="86"/>
      <c r="AV17" s="86"/>
      <c r="AW17" s="86"/>
      <c r="AX17" s="95"/>
      <c r="AY17" s="95"/>
      <c r="AZ17" s="95"/>
    </row>
    <row r="18" spans="1:52" x14ac:dyDescent="0.3">
      <c r="A18" s="12" t="s">
        <v>187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U18" s="27"/>
      <c r="V18" s="59"/>
      <c r="W18" s="70"/>
      <c r="X18" s="28"/>
      <c r="Y18" s="8"/>
      <c r="Z18" s="28"/>
      <c r="AA18" s="8"/>
      <c r="AB18" s="40"/>
      <c r="AC18" s="37"/>
      <c r="AD18" s="27"/>
      <c r="AE18" s="28"/>
      <c r="AF18" s="8"/>
      <c r="AG18" s="43"/>
      <c r="AH18" s="8"/>
      <c r="AI18" s="28"/>
      <c r="AJ18" s="29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</row>
    <row r="19" spans="1:52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106"/>
      <c r="P19" s="106"/>
      <c r="U19" s="27"/>
      <c r="V19" s="59"/>
      <c r="W19" s="70"/>
      <c r="X19" s="28"/>
      <c r="Y19" s="8"/>
      <c r="Z19" s="28"/>
      <c r="AA19" s="8"/>
      <c r="AB19" s="40"/>
      <c r="AC19" s="37"/>
      <c r="AD19" s="27"/>
      <c r="AE19" s="28"/>
      <c r="AF19" s="8"/>
      <c r="AG19" s="43"/>
      <c r="AH19" s="8"/>
      <c r="AI19" s="28"/>
      <c r="AJ19" s="29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</row>
    <row r="20" spans="1:52" x14ac:dyDescent="0.3">
      <c r="A20" s="22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U20" s="27"/>
      <c r="V20" s="59"/>
      <c r="W20" s="70"/>
      <c r="X20" s="28"/>
      <c r="Y20" s="8"/>
      <c r="Z20" s="28"/>
      <c r="AA20" s="8"/>
      <c r="AB20" s="40"/>
      <c r="AC20" s="37"/>
      <c r="AD20" s="27"/>
      <c r="AE20" s="28"/>
      <c r="AF20" s="8"/>
      <c r="AG20" s="43"/>
      <c r="AH20" s="8"/>
      <c r="AI20" s="28"/>
      <c r="AJ20" s="29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</row>
    <row r="21" spans="1:52" ht="12" customHeight="1" x14ac:dyDescent="0.3">
      <c r="U21" s="27"/>
      <c r="V21" s="59"/>
      <c r="W21" s="70"/>
      <c r="X21" s="28"/>
      <c r="Y21" s="8"/>
      <c r="Z21" s="28"/>
      <c r="AA21" s="8"/>
      <c r="AB21" s="40"/>
      <c r="AC21" s="37"/>
      <c r="AD21" s="27"/>
      <c r="AE21" s="28"/>
      <c r="AF21" s="8"/>
      <c r="AG21" s="43"/>
      <c r="AH21" s="8"/>
      <c r="AI21" s="28"/>
      <c r="AJ21" s="29"/>
      <c r="AK21" s="45"/>
      <c r="AL21" s="45"/>
      <c r="AM21" s="45"/>
      <c r="AN21" s="45"/>
      <c r="AO21" s="45"/>
      <c r="AP21" s="45"/>
      <c r="AQ21" s="45"/>
      <c r="AR21" s="45"/>
      <c r="AS21" s="3"/>
      <c r="AT21" s="86"/>
      <c r="AU21" s="86"/>
      <c r="AV21" s="86"/>
      <c r="AW21" s="86"/>
      <c r="AX21" s="95"/>
      <c r="AY21" s="95"/>
      <c r="AZ21" s="95"/>
    </row>
    <row r="22" spans="1:52" ht="12" customHeight="1" x14ac:dyDescent="0.35">
      <c r="A22" s="9"/>
      <c r="B22" s="4" t="s">
        <v>11</v>
      </c>
      <c r="C22" s="3"/>
      <c r="D22" s="3"/>
      <c r="E22" s="3"/>
      <c r="F22" s="149" t="s">
        <v>33</v>
      </c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65">
        <f>SUM(A23:A28)</f>
        <v>5</v>
      </c>
      <c r="R22" s="151">
        <f>SUM(A23:A28)/5</f>
        <v>1</v>
      </c>
      <c r="S22" s="152"/>
      <c r="U22" s="27"/>
      <c r="V22" s="59"/>
      <c r="W22" s="70"/>
      <c r="X22" s="28"/>
      <c r="Y22" s="8"/>
      <c r="Z22" s="28"/>
      <c r="AA22" s="8"/>
      <c r="AB22" s="40"/>
      <c r="AC22" s="37"/>
      <c r="AE22" s="28"/>
      <c r="AF22" s="8"/>
      <c r="AG22" s="43"/>
      <c r="AH22" s="8"/>
      <c r="AI22" s="28"/>
      <c r="AJ22" s="29"/>
      <c r="AK22" s="45"/>
      <c r="AL22" s="45"/>
      <c r="AM22" s="45"/>
      <c r="AN22" s="45"/>
      <c r="AO22" s="45"/>
      <c r="AP22" s="45"/>
      <c r="AQ22" s="45"/>
      <c r="AR22" s="45"/>
      <c r="AS22" s="3"/>
      <c r="AX22" s="3"/>
      <c r="AY22" s="3"/>
      <c r="AZ22" s="3"/>
    </row>
    <row r="23" spans="1:52" ht="12" customHeight="1" x14ac:dyDescent="0.3">
      <c r="A23" s="8">
        <v>1</v>
      </c>
      <c r="B23" s="5" t="s">
        <v>34</v>
      </c>
      <c r="F23" s="1">
        <f>F16+1</f>
        <v>11</v>
      </c>
      <c r="G23" s="1" t="s">
        <v>185</v>
      </c>
      <c r="U23" s="27"/>
      <c r="V23" s="59"/>
      <c r="W23" s="70"/>
      <c r="X23" s="28"/>
      <c r="Y23" s="8"/>
      <c r="Z23" s="28"/>
      <c r="AA23" s="8"/>
      <c r="AB23" s="40"/>
      <c r="AC23" s="37"/>
      <c r="AD23" s="27"/>
      <c r="AE23" s="124"/>
      <c r="AF23" s="8"/>
      <c r="AG23" s="43"/>
      <c r="AH23" s="8"/>
      <c r="AI23" s="28"/>
      <c r="AJ23" s="29"/>
      <c r="AK23" s="45"/>
      <c r="AL23" s="45"/>
      <c r="AM23" s="45"/>
      <c r="AN23" s="45"/>
      <c r="AO23" s="45"/>
      <c r="AP23" s="45"/>
      <c r="AQ23" s="45"/>
      <c r="AR23" s="45"/>
      <c r="AS23" s="3"/>
      <c r="AT23" s="74"/>
      <c r="AU23" s="74"/>
      <c r="AV23" s="74"/>
      <c r="AW23" s="74"/>
      <c r="AX23" s="109"/>
      <c r="AY23" s="109"/>
      <c r="AZ23" s="109"/>
    </row>
    <row r="24" spans="1:52" s="86" customFormat="1" ht="12" customHeight="1" x14ac:dyDescent="0.3">
      <c r="A24" s="84">
        <v>1</v>
      </c>
      <c r="B24" s="85" t="s">
        <v>35</v>
      </c>
      <c r="D24" s="93" t="s">
        <v>36</v>
      </c>
      <c r="F24" s="86">
        <f>F23+1</f>
        <v>12</v>
      </c>
      <c r="G24" s="86" t="s">
        <v>37</v>
      </c>
      <c r="Q24" s="87"/>
      <c r="R24" s="88"/>
      <c r="S24" s="88"/>
      <c r="U24" s="89"/>
      <c r="V24" s="90"/>
      <c r="W24" s="90"/>
      <c r="X24" s="84"/>
      <c r="Y24" s="84"/>
      <c r="Z24" s="84"/>
      <c r="AA24" s="84"/>
      <c r="AB24" s="91"/>
      <c r="AC24" s="92"/>
      <c r="AD24" s="89"/>
      <c r="AE24" s="125"/>
      <c r="AF24" s="84"/>
      <c r="AG24" s="84"/>
      <c r="AH24" s="84"/>
      <c r="AI24" s="84"/>
      <c r="AJ24" s="92"/>
      <c r="AK24" s="45"/>
      <c r="AL24" s="45"/>
      <c r="AM24" s="45"/>
      <c r="AN24" s="45"/>
      <c r="AO24" s="45"/>
      <c r="AP24" s="45"/>
      <c r="AQ24" s="45"/>
      <c r="AR24" s="45"/>
      <c r="AS24" s="3"/>
      <c r="AX24" s="95"/>
      <c r="AY24" s="95"/>
      <c r="AZ24" s="95"/>
    </row>
    <row r="25" spans="1:52" s="133" customFormat="1" ht="12" customHeight="1" x14ac:dyDescent="0.3">
      <c r="A25" s="131">
        <v>1</v>
      </c>
      <c r="B25" s="132" t="s">
        <v>38</v>
      </c>
      <c r="F25" s="133">
        <f>F24+1</f>
        <v>13</v>
      </c>
      <c r="G25" s="133" t="s">
        <v>39</v>
      </c>
      <c r="Q25" s="134"/>
      <c r="R25" s="135"/>
      <c r="S25" s="135"/>
      <c r="U25" s="139"/>
      <c r="V25" s="137"/>
      <c r="W25" s="141" t="s">
        <v>5</v>
      </c>
      <c r="X25" s="141" t="s">
        <v>5</v>
      </c>
      <c r="Y25" s="141" t="s">
        <v>5</v>
      </c>
      <c r="Z25" s="141" t="s">
        <v>5</v>
      </c>
      <c r="AA25" s="131"/>
      <c r="AB25" s="138"/>
      <c r="AC25" s="37"/>
      <c r="AD25" s="139"/>
      <c r="AE25" s="139"/>
      <c r="AF25" s="131"/>
      <c r="AG25" s="131"/>
      <c r="AH25" s="131"/>
      <c r="AI25" s="131"/>
      <c r="AJ25" s="37"/>
      <c r="AK25" s="142"/>
      <c r="AL25" s="142"/>
      <c r="AM25" s="142"/>
      <c r="AN25" s="142"/>
      <c r="AO25" s="142"/>
      <c r="AP25" s="142"/>
      <c r="AQ25" s="142"/>
      <c r="AR25" s="142"/>
      <c r="AS25" s="140"/>
      <c r="AX25" s="140"/>
      <c r="AY25" s="140"/>
      <c r="AZ25" s="140"/>
    </row>
    <row r="26" spans="1:52" s="74" customFormat="1" ht="12" customHeight="1" x14ac:dyDescent="0.3">
      <c r="A26" s="72">
        <v>1</v>
      </c>
      <c r="B26" s="73" t="s">
        <v>40</v>
      </c>
      <c r="F26" s="74">
        <f>F25+1</f>
        <v>14</v>
      </c>
      <c r="G26" s="74" t="s">
        <v>41</v>
      </c>
      <c r="Q26" s="75"/>
      <c r="R26" s="76"/>
      <c r="S26" s="76"/>
      <c r="U26" s="77"/>
      <c r="W26" s="78"/>
      <c r="X26" s="72"/>
      <c r="Y26" s="72"/>
      <c r="Z26" s="72"/>
      <c r="AA26" s="72"/>
      <c r="AB26" s="79"/>
      <c r="AC26" s="80"/>
      <c r="AD26" s="77"/>
      <c r="AE26" s="72"/>
      <c r="AF26" s="72"/>
      <c r="AG26" s="72"/>
      <c r="AH26" s="72"/>
      <c r="AI26" s="72"/>
      <c r="AJ26" s="80"/>
      <c r="AK26" s="45"/>
      <c r="AL26" s="45"/>
      <c r="AM26" s="45"/>
      <c r="AN26" s="45"/>
      <c r="AO26" s="45"/>
      <c r="AP26" s="45"/>
      <c r="AQ26" s="45"/>
      <c r="AR26" s="45"/>
      <c r="AS26" s="3"/>
      <c r="AX26" s="109"/>
      <c r="AY26" s="109"/>
      <c r="AZ26" s="109"/>
    </row>
    <row r="27" spans="1:52" ht="12" customHeight="1" x14ac:dyDescent="0.3">
      <c r="A27" s="8">
        <v>1</v>
      </c>
      <c r="B27" s="5" t="s">
        <v>42</v>
      </c>
      <c r="F27" s="1">
        <f>F26+1</f>
        <v>15</v>
      </c>
      <c r="G27" s="130" t="s">
        <v>161</v>
      </c>
      <c r="U27" s="27"/>
      <c r="V27" s="59"/>
      <c r="W27" s="70"/>
      <c r="X27" s="28"/>
      <c r="Y27" s="8"/>
      <c r="Z27" s="28"/>
      <c r="AA27" s="8"/>
      <c r="AB27" s="40"/>
      <c r="AC27" s="37"/>
      <c r="AD27" s="27"/>
      <c r="AE27" s="28"/>
      <c r="AF27" s="8"/>
      <c r="AG27" s="43"/>
      <c r="AH27" s="8"/>
      <c r="AI27" s="28"/>
      <c r="AJ27" s="29"/>
      <c r="AK27" s="45"/>
      <c r="AL27" s="45"/>
      <c r="AM27" s="45"/>
      <c r="AN27" s="45"/>
      <c r="AO27" s="45"/>
      <c r="AP27" s="45"/>
      <c r="AQ27" s="45"/>
      <c r="AR27" s="45"/>
      <c r="AS27" s="3"/>
      <c r="AX27" s="3"/>
      <c r="AY27" s="3"/>
      <c r="AZ27" s="3"/>
    </row>
    <row r="28" spans="1:52" s="86" customFormat="1" ht="12" customHeight="1" x14ac:dyDescent="0.3">
      <c r="A28" s="84"/>
      <c r="B28" s="85"/>
      <c r="F28" s="86">
        <f>F27+1</f>
        <v>16</v>
      </c>
      <c r="G28" s="86" t="s">
        <v>193</v>
      </c>
      <c r="Q28" s="87"/>
      <c r="R28" s="88"/>
      <c r="S28" s="88"/>
      <c r="U28" s="89"/>
      <c r="V28" s="90"/>
      <c r="W28" s="90"/>
      <c r="X28" s="84"/>
      <c r="Y28" s="84"/>
      <c r="Z28" s="84"/>
      <c r="AA28" s="123"/>
      <c r="AB28" s="91"/>
      <c r="AC28" s="92"/>
      <c r="AD28" s="89"/>
      <c r="AE28" s="84"/>
      <c r="AF28" s="84"/>
      <c r="AG28" s="84"/>
      <c r="AH28" s="84"/>
      <c r="AI28" s="84"/>
      <c r="AJ28" s="92"/>
      <c r="AK28" s="45"/>
      <c r="AL28" s="45"/>
      <c r="AM28" s="45"/>
      <c r="AN28" s="45"/>
      <c r="AO28" s="45"/>
      <c r="AP28" s="45"/>
      <c r="AQ28" s="45"/>
      <c r="AR28" s="45"/>
      <c r="AS28" s="3"/>
      <c r="AX28" s="95"/>
      <c r="AY28" s="95"/>
      <c r="AZ28" s="95"/>
    </row>
    <row r="29" spans="1:52" ht="12" customHeight="1" x14ac:dyDescent="0.3">
      <c r="U29" s="27"/>
      <c r="V29" s="59"/>
      <c r="W29" s="70"/>
      <c r="X29" s="28"/>
      <c r="Y29" s="8"/>
      <c r="Z29" s="28"/>
      <c r="AA29" s="8"/>
      <c r="AB29" s="40"/>
      <c r="AC29" s="37"/>
      <c r="AD29" s="27"/>
      <c r="AE29" s="28"/>
      <c r="AF29" s="8"/>
      <c r="AG29" s="43"/>
      <c r="AH29" s="8"/>
      <c r="AI29" s="28"/>
      <c r="AJ29" s="29"/>
      <c r="AK29" s="45"/>
      <c r="AL29" s="45"/>
      <c r="AM29" s="45"/>
      <c r="AN29" s="45"/>
      <c r="AO29" s="45"/>
      <c r="AP29" s="45"/>
      <c r="AQ29" s="45"/>
      <c r="AR29" s="45"/>
      <c r="AS29" s="3"/>
      <c r="AX29" s="3"/>
      <c r="AY29" s="3"/>
      <c r="AZ29" s="3"/>
    </row>
    <row r="30" spans="1:52" ht="12" customHeight="1" x14ac:dyDescent="0.3">
      <c r="A30" s="12" t="s">
        <v>201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U30" s="27"/>
      <c r="V30" s="59"/>
      <c r="W30" s="70"/>
      <c r="X30" s="28"/>
      <c r="Y30" s="8"/>
      <c r="Z30" s="28"/>
      <c r="AA30" s="8"/>
      <c r="AB30" s="40"/>
      <c r="AC30" s="37"/>
      <c r="AD30" s="27"/>
      <c r="AE30" s="28"/>
      <c r="AF30" s="8"/>
      <c r="AG30" s="43"/>
      <c r="AH30" s="8"/>
      <c r="AI30" s="28"/>
      <c r="AJ30" s="29"/>
      <c r="AK30" s="45"/>
      <c r="AL30" s="45"/>
      <c r="AM30" s="45"/>
      <c r="AN30" s="45"/>
      <c r="AO30" s="45"/>
      <c r="AP30" s="45"/>
      <c r="AQ30" s="45"/>
      <c r="AR30" s="45"/>
      <c r="AS30" s="3"/>
      <c r="AT30" s="74"/>
      <c r="AU30" s="74"/>
      <c r="AV30" s="74"/>
      <c r="AW30" s="74"/>
      <c r="AX30" s="109"/>
      <c r="AY30" s="109"/>
      <c r="AZ30" s="109"/>
    </row>
    <row r="31" spans="1:52" ht="12" customHeight="1" x14ac:dyDescent="0.3">
      <c r="A31" s="113" t="s">
        <v>188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U31" s="27"/>
      <c r="V31" s="59"/>
      <c r="W31" s="70"/>
      <c r="X31" s="28"/>
      <c r="Y31" s="8"/>
      <c r="Z31" s="28"/>
      <c r="AA31" s="8"/>
      <c r="AB31" s="40"/>
      <c r="AC31" s="37"/>
      <c r="AD31" s="27"/>
      <c r="AE31" s="28"/>
      <c r="AF31" s="8"/>
      <c r="AG31" s="43"/>
      <c r="AH31" s="8"/>
      <c r="AI31" s="28"/>
      <c r="AJ31" s="29"/>
      <c r="AK31" s="45"/>
      <c r="AL31" s="45"/>
      <c r="AM31" s="45"/>
      <c r="AN31" s="45"/>
      <c r="AO31" s="45"/>
      <c r="AP31" s="45"/>
      <c r="AQ31" s="45"/>
      <c r="AR31" s="45"/>
      <c r="AS31" s="3"/>
      <c r="AX31" s="3"/>
      <c r="AY31" s="3"/>
      <c r="AZ31" s="3"/>
    </row>
    <row r="32" spans="1:52" ht="12" customHeight="1" x14ac:dyDescent="0.3">
      <c r="A32" s="10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U32" s="27"/>
      <c r="V32" s="59"/>
      <c r="W32" s="70"/>
      <c r="X32" s="28"/>
      <c r="Y32" s="8"/>
      <c r="Z32" s="28"/>
      <c r="AA32" s="8"/>
      <c r="AB32" s="40"/>
      <c r="AC32" s="37"/>
      <c r="AD32" s="27"/>
      <c r="AE32" s="28"/>
      <c r="AF32" s="8"/>
      <c r="AG32" s="43"/>
      <c r="AH32" s="8"/>
      <c r="AI32" s="28"/>
      <c r="AJ32" s="29"/>
      <c r="AK32" s="45"/>
      <c r="AL32" s="45"/>
      <c r="AM32" s="45"/>
      <c r="AN32" s="45"/>
      <c r="AO32" s="45"/>
      <c r="AP32" s="45"/>
      <c r="AQ32" s="45"/>
      <c r="AR32" s="45"/>
      <c r="AS32" s="3"/>
      <c r="AT32" s="86"/>
      <c r="AU32" s="86"/>
      <c r="AV32" s="86"/>
      <c r="AW32" s="86"/>
      <c r="AX32" s="95"/>
      <c r="AY32" s="95"/>
      <c r="AZ32" s="95"/>
    </row>
    <row r="33" spans="1:54" ht="12" customHeight="1" thickBot="1" x14ac:dyDescent="0.4">
      <c r="U33" s="27"/>
      <c r="V33" s="59"/>
      <c r="W33" s="70"/>
      <c r="X33" s="28"/>
      <c r="Y33" s="8"/>
      <c r="Z33" s="28"/>
      <c r="AA33" s="8"/>
      <c r="AB33" s="40"/>
      <c r="AC33" s="37"/>
      <c r="AD33" s="27"/>
      <c r="AE33" s="28"/>
      <c r="AF33" s="8"/>
      <c r="AG33" s="43"/>
      <c r="AH33" s="8"/>
      <c r="AI33" s="28"/>
      <c r="AJ33" s="29"/>
      <c r="AK33" s="45"/>
      <c r="AL33" s="45"/>
      <c r="AM33" s="45"/>
      <c r="AN33" s="45"/>
      <c r="AO33" s="45"/>
      <c r="AP33" s="45"/>
      <c r="AQ33" s="45"/>
      <c r="AR33" s="45"/>
      <c r="AS33" s="3"/>
      <c r="AT33" s="111"/>
      <c r="AU33" s="111"/>
      <c r="AV33" s="111"/>
      <c r="AW33" s="111"/>
      <c r="AX33" s="110"/>
      <c r="AY33" s="110"/>
      <c r="AZ33" s="110"/>
    </row>
    <row r="34" spans="1:54" s="3" customFormat="1" ht="22.5" customHeight="1" x14ac:dyDescent="0.3">
      <c r="A34" s="183" t="s">
        <v>3</v>
      </c>
      <c r="B34" s="183"/>
      <c r="D34" s="13">
        <v>1</v>
      </c>
      <c r="E34" s="16" t="s">
        <v>4</v>
      </c>
      <c r="F34" s="16"/>
      <c r="G34" s="16"/>
      <c r="H34" s="16"/>
      <c r="K34" s="13">
        <v>0</v>
      </c>
      <c r="L34" s="16" t="s">
        <v>151</v>
      </c>
      <c r="M34" s="16"/>
      <c r="N34" s="16"/>
      <c r="O34" s="16"/>
      <c r="P34" s="16"/>
      <c r="Q34" s="65"/>
      <c r="R34" s="35"/>
      <c r="S34" s="35"/>
      <c r="U34" s="153"/>
      <c r="V34" s="154"/>
      <c r="W34" s="154"/>
      <c r="X34" s="154"/>
      <c r="Y34" s="154"/>
      <c r="Z34" s="154"/>
      <c r="AA34" s="154"/>
      <c r="AB34" s="154"/>
      <c r="AC34" s="155"/>
      <c r="AD34" s="156"/>
      <c r="AE34" s="157"/>
      <c r="AF34" s="157"/>
      <c r="AG34" s="157"/>
      <c r="AH34" s="157"/>
      <c r="AI34" s="157"/>
      <c r="AJ34" s="158"/>
      <c r="AK34" s="45"/>
      <c r="AL34" s="45"/>
      <c r="AM34" s="45"/>
      <c r="AN34" s="45"/>
      <c r="AO34" s="45"/>
      <c r="AP34" s="45"/>
      <c r="AQ34" s="45"/>
      <c r="AR34" s="45"/>
      <c r="AT34" s="45"/>
      <c r="AU34" s="45"/>
      <c r="AV34" s="45"/>
      <c r="AW34" s="45"/>
      <c r="AX34" s="45"/>
      <c r="AY34" s="45"/>
      <c r="AZ34" s="45"/>
      <c r="BA34" s="45"/>
      <c r="BB34" s="45"/>
    </row>
    <row r="35" spans="1:54" s="45" customFormat="1" ht="70.5" customHeight="1" x14ac:dyDescent="0.3">
      <c r="D35" s="54" t="s">
        <v>5</v>
      </c>
      <c r="E35" s="173" t="s">
        <v>6</v>
      </c>
      <c r="F35" s="174"/>
      <c r="G35" s="55"/>
      <c r="H35" s="56" t="s">
        <v>7</v>
      </c>
      <c r="I35" s="171" t="s">
        <v>8</v>
      </c>
      <c r="J35" s="172"/>
      <c r="L35" s="68" t="s">
        <v>9</v>
      </c>
      <c r="M35" s="178" t="s">
        <v>10</v>
      </c>
      <c r="N35" s="179"/>
      <c r="Q35" s="66"/>
      <c r="R35" s="46"/>
      <c r="S35" s="46"/>
      <c r="U35" s="47" t="str">
        <f>U5</f>
        <v>Mechanical Train</v>
      </c>
      <c r="V35" s="57" t="str">
        <f t="shared" ref="V35:AJ35" si="0">V5</f>
        <v>Electrical Train</v>
      </c>
      <c r="W35" s="61" t="str">
        <f t="shared" si="0"/>
        <v>Plumbing Tharp</v>
      </c>
      <c r="X35" s="48" t="str">
        <f t="shared" si="0"/>
        <v>B</v>
      </c>
      <c r="Y35" s="49" t="str">
        <f t="shared" si="0"/>
        <v>C</v>
      </c>
      <c r="Z35" s="48">
        <f t="shared" si="0"/>
        <v>0</v>
      </c>
      <c r="AA35" s="49">
        <f t="shared" si="0"/>
        <v>0</v>
      </c>
      <c r="AB35" s="50">
        <f t="shared" si="0"/>
        <v>0</v>
      </c>
      <c r="AC35" s="51" t="str">
        <f t="shared" si="0"/>
        <v>Loading Dock</v>
      </c>
      <c r="AD35" s="47">
        <f t="shared" si="0"/>
        <v>0</v>
      </c>
      <c r="AE35" s="48" t="str">
        <f t="shared" si="0"/>
        <v>Mechanical Train</v>
      </c>
      <c r="AF35" s="49" t="str">
        <f t="shared" si="0"/>
        <v>Electrical Train</v>
      </c>
      <c r="AG35" s="52" t="str">
        <f t="shared" si="0"/>
        <v>Plumbing Tharp</v>
      </c>
      <c r="AH35" s="53">
        <f t="shared" si="0"/>
        <v>0</v>
      </c>
      <c r="AI35" s="48">
        <f t="shared" si="0"/>
        <v>0</v>
      </c>
      <c r="AJ35" s="53">
        <f t="shared" si="0"/>
        <v>0</v>
      </c>
      <c r="AS35" s="3"/>
    </row>
    <row r="36" spans="1:54" ht="12" customHeight="1" x14ac:dyDescent="0.35">
      <c r="A36" s="9"/>
      <c r="B36" s="4" t="s">
        <v>11</v>
      </c>
      <c r="C36" s="3"/>
      <c r="D36" s="3"/>
      <c r="E36" s="3"/>
      <c r="F36" s="15" t="s">
        <v>43</v>
      </c>
      <c r="G36" s="16"/>
      <c r="H36" s="16"/>
      <c r="I36" s="16"/>
      <c r="J36" s="16"/>
      <c r="K36" s="14"/>
      <c r="L36" s="16"/>
      <c r="M36" s="16"/>
      <c r="N36" s="16"/>
      <c r="O36" s="14"/>
      <c r="P36" s="14"/>
      <c r="Q36" s="64">
        <f>SUM(A37:A44)</f>
        <v>6</v>
      </c>
      <c r="R36" s="151">
        <f>SUM(A37:A43)/7</f>
        <v>0.8571428571428571</v>
      </c>
      <c r="S36" s="152"/>
      <c r="U36" s="27"/>
      <c r="V36" s="59"/>
      <c r="W36" s="70"/>
      <c r="X36" s="28"/>
      <c r="Y36" s="8"/>
      <c r="Z36" s="28"/>
      <c r="AA36" s="8"/>
      <c r="AB36" s="40"/>
      <c r="AC36" s="37"/>
      <c r="AD36" s="27"/>
      <c r="AE36" s="28"/>
      <c r="AF36" s="8"/>
      <c r="AG36" s="43"/>
      <c r="AH36" s="8"/>
      <c r="AI36" s="28"/>
      <c r="AJ36" s="29"/>
      <c r="AK36" s="45"/>
      <c r="AL36" s="45"/>
      <c r="AM36" s="45"/>
      <c r="AN36" s="45"/>
      <c r="AO36" s="45"/>
      <c r="AP36" s="45"/>
      <c r="AQ36" s="45"/>
      <c r="AR36" s="45"/>
      <c r="AS36" s="3"/>
      <c r="AT36" s="108"/>
    </row>
    <row r="37" spans="1:54" ht="12" customHeight="1" x14ac:dyDescent="0.35">
      <c r="A37" s="8">
        <v>1</v>
      </c>
      <c r="B37" s="5" t="s">
        <v>44</v>
      </c>
      <c r="F37" s="1">
        <f>F28+1</f>
        <v>17</v>
      </c>
      <c r="G37" s="1" t="s">
        <v>179</v>
      </c>
      <c r="U37" s="27"/>
      <c r="V37" s="59"/>
      <c r="W37" s="70"/>
      <c r="X37" s="28"/>
      <c r="Y37" s="8"/>
      <c r="Z37" s="28"/>
      <c r="AA37" s="8"/>
      <c r="AB37" s="40"/>
      <c r="AC37" s="37"/>
      <c r="AD37" s="27"/>
      <c r="AE37" s="28"/>
      <c r="AF37" s="8"/>
      <c r="AG37" s="43"/>
      <c r="AH37" s="8"/>
      <c r="AI37" s="28"/>
      <c r="AJ37" s="29"/>
      <c r="AK37" s="45"/>
      <c r="AL37" s="45"/>
      <c r="AM37" s="45"/>
      <c r="AN37" s="45"/>
      <c r="AO37" s="45"/>
      <c r="AP37" s="45"/>
      <c r="AQ37" s="45"/>
      <c r="AR37" s="45"/>
      <c r="AS37" s="3"/>
      <c r="AT37"/>
    </row>
    <row r="38" spans="1:54" s="86" customFormat="1" ht="12" customHeight="1" x14ac:dyDescent="0.35">
      <c r="A38" s="84">
        <v>1</v>
      </c>
      <c r="B38" s="85" t="s">
        <v>44</v>
      </c>
      <c r="C38" s="93" t="s">
        <v>45</v>
      </c>
      <c r="D38" s="93" t="s">
        <v>46</v>
      </c>
      <c r="F38" s="86">
        <f t="shared" ref="F38:F43" si="1">F37+1</f>
        <v>18</v>
      </c>
      <c r="G38" s="86" t="s">
        <v>180</v>
      </c>
      <c r="Q38" s="87"/>
      <c r="R38" s="88"/>
      <c r="S38" s="88"/>
      <c r="U38" s="101"/>
      <c r="V38" s="112"/>
      <c r="W38" s="102"/>
      <c r="X38" s="103"/>
      <c r="Y38" s="103"/>
      <c r="Z38" s="103"/>
      <c r="AA38" s="103"/>
      <c r="AB38" s="104"/>
      <c r="AC38" s="112"/>
      <c r="AD38" s="101"/>
      <c r="AE38" s="103"/>
      <c r="AF38" s="103"/>
      <c r="AG38" s="103"/>
      <c r="AH38" s="103"/>
      <c r="AI38" s="103"/>
      <c r="AJ38" s="105"/>
      <c r="AK38" s="45"/>
      <c r="AL38" s="45"/>
      <c r="AM38" s="45"/>
      <c r="AN38" s="45"/>
      <c r="AO38" s="45"/>
      <c r="AP38" s="45"/>
      <c r="AQ38" s="45"/>
      <c r="AR38" s="45"/>
      <c r="AS38" s="3"/>
      <c r="AT38" s="107"/>
    </row>
    <row r="39" spans="1:54" ht="12" customHeight="1" x14ac:dyDescent="0.3">
      <c r="A39" s="8">
        <v>1</v>
      </c>
      <c r="B39" s="5" t="s">
        <v>47</v>
      </c>
      <c r="C39" s="6" t="s">
        <v>48</v>
      </c>
      <c r="F39" s="1">
        <f t="shared" si="1"/>
        <v>19</v>
      </c>
      <c r="G39" s="1" t="s">
        <v>49</v>
      </c>
      <c r="U39" s="27"/>
      <c r="V39" s="59"/>
      <c r="W39" s="70"/>
      <c r="X39" s="28"/>
      <c r="Y39" s="8"/>
      <c r="Z39" s="28"/>
      <c r="AA39" s="8"/>
      <c r="AB39" s="40"/>
      <c r="AC39" s="37"/>
      <c r="AD39" s="27"/>
      <c r="AE39" s="28"/>
      <c r="AF39" s="8"/>
      <c r="AG39" s="43"/>
      <c r="AH39" s="8"/>
      <c r="AI39" s="28"/>
      <c r="AJ39" s="29"/>
      <c r="AK39" s="45"/>
      <c r="AL39" s="45"/>
      <c r="AM39" s="45"/>
      <c r="AN39" s="45"/>
      <c r="AO39" s="45"/>
      <c r="AP39" s="45"/>
      <c r="AQ39" s="45"/>
      <c r="AR39" s="45"/>
      <c r="AS39" s="3"/>
      <c r="AT39" s="45"/>
      <c r="AU39" s="45"/>
      <c r="AV39" s="45"/>
      <c r="AW39" s="45"/>
      <c r="AX39" s="45"/>
      <c r="AY39" s="45"/>
      <c r="AZ39" s="45"/>
    </row>
    <row r="40" spans="1:54" s="74" customFormat="1" ht="12" customHeight="1" x14ac:dyDescent="0.3">
      <c r="A40" s="72">
        <v>1</v>
      </c>
      <c r="B40" s="73" t="s">
        <v>47</v>
      </c>
      <c r="C40" s="82" t="s">
        <v>50</v>
      </c>
      <c r="F40" s="74">
        <f t="shared" si="1"/>
        <v>20</v>
      </c>
      <c r="G40" s="74" t="s">
        <v>51</v>
      </c>
      <c r="Q40" s="75"/>
      <c r="R40" s="76"/>
      <c r="S40" s="76"/>
      <c r="U40" s="77"/>
      <c r="V40" s="78"/>
      <c r="W40" s="78"/>
      <c r="X40" s="72"/>
      <c r="Y40" s="114"/>
      <c r="Z40" s="72"/>
      <c r="AA40" s="72"/>
      <c r="AB40" s="79"/>
      <c r="AC40" s="80"/>
      <c r="AD40" s="77"/>
      <c r="AE40" s="72"/>
      <c r="AF40" s="72"/>
      <c r="AG40" s="72"/>
      <c r="AH40" s="72"/>
      <c r="AI40" s="72"/>
      <c r="AJ40" s="80"/>
      <c r="AK40" s="45"/>
      <c r="AL40" s="45"/>
      <c r="AM40" s="45"/>
      <c r="AN40" s="45"/>
      <c r="AO40" s="45"/>
      <c r="AP40" s="45"/>
      <c r="AQ40" s="45"/>
      <c r="AR40" s="45"/>
      <c r="AS40" s="3"/>
      <c r="AT40" s="45"/>
      <c r="AU40" s="45"/>
      <c r="AV40" s="45"/>
      <c r="AW40" s="45"/>
      <c r="AX40" s="45"/>
      <c r="AY40" s="45"/>
      <c r="AZ40" s="45"/>
    </row>
    <row r="41" spans="1:54" ht="12" customHeight="1" x14ac:dyDescent="0.3">
      <c r="A41" s="8">
        <v>1</v>
      </c>
      <c r="B41" s="5" t="s">
        <v>52</v>
      </c>
      <c r="F41" s="1">
        <f t="shared" si="1"/>
        <v>21</v>
      </c>
      <c r="G41" s="1" t="s">
        <v>162</v>
      </c>
      <c r="U41" s="27"/>
      <c r="V41" s="59"/>
      <c r="W41" s="70"/>
      <c r="X41" s="28"/>
      <c r="Y41" s="8"/>
      <c r="Z41" s="28"/>
      <c r="AA41" s="8"/>
      <c r="AB41" s="40"/>
      <c r="AC41" s="37"/>
      <c r="AD41" s="27"/>
      <c r="AE41" s="28"/>
      <c r="AF41" s="8"/>
      <c r="AG41" s="43"/>
      <c r="AH41" s="8"/>
      <c r="AI41" s="28"/>
      <c r="AJ41" s="29"/>
      <c r="AK41" s="45"/>
      <c r="AL41" s="45"/>
      <c r="AM41" s="45"/>
      <c r="AN41" s="45"/>
      <c r="AO41" s="45"/>
      <c r="AP41" s="45"/>
      <c r="AQ41" s="45"/>
      <c r="AR41" s="45"/>
      <c r="AS41" s="3"/>
      <c r="AT41" s="45"/>
      <c r="AU41" s="45"/>
      <c r="AV41" s="45"/>
      <c r="AW41" s="45"/>
      <c r="AX41" s="45"/>
      <c r="AY41" s="45"/>
      <c r="AZ41" s="45"/>
    </row>
    <row r="42" spans="1:54" s="86" customFormat="1" ht="12" customHeight="1" x14ac:dyDescent="0.3">
      <c r="A42" s="84">
        <v>1</v>
      </c>
      <c r="B42" s="85" t="s">
        <v>53</v>
      </c>
      <c r="C42" s="93" t="s">
        <v>50</v>
      </c>
      <c r="F42" s="86">
        <f t="shared" si="1"/>
        <v>22</v>
      </c>
      <c r="G42" s="86" t="s">
        <v>54</v>
      </c>
      <c r="Q42" s="87"/>
      <c r="R42" s="88"/>
      <c r="S42" s="88"/>
      <c r="U42" s="89"/>
      <c r="V42" s="90"/>
      <c r="W42" s="90"/>
      <c r="X42" s="84"/>
      <c r="Y42" s="84"/>
      <c r="Z42" s="84"/>
      <c r="AA42" s="84"/>
      <c r="AB42" s="91"/>
      <c r="AC42" s="92"/>
      <c r="AD42" s="89"/>
      <c r="AE42" s="84"/>
      <c r="AF42" s="84"/>
      <c r="AG42" s="84"/>
      <c r="AH42" s="84"/>
      <c r="AI42" s="84"/>
      <c r="AJ42" s="92"/>
      <c r="AK42" s="45"/>
      <c r="AL42" s="45"/>
      <c r="AM42" s="45"/>
      <c r="AN42" s="45"/>
      <c r="AO42" s="45"/>
      <c r="AP42" s="45"/>
      <c r="AQ42" s="45"/>
      <c r="AR42" s="45"/>
      <c r="AS42" s="3"/>
      <c r="AT42" s="45"/>
      <c r="AU42" s="45"/>
      <c r="AV42" s="45"/>
      <c r="AW42" s="45"/>
      <c r="AX42" s="45"/>
      <c r="AY42" s="45"/>
      <c r="AZ42" s="45"/>
    </row>
    <row r="43" spans="1:54" ht="12" customHeight="1" x14ac:dyDescent="0.3">
      <c r="A43" s="8"/>
      <c r="B43" s="5"/>
      <c r="F43" s="1">
        <f t="shared" si="1"/>
        <v>23</v>
      </c>
      <c r="G43" s="1" t="s">
        <v>31</v>
      </c>
      <c r="U43" s="27"/>
      <c r="V43" s="59"/>
      <c r="W43" s="70"/>
      <c r="X43" s="28"/>
      <c r="Y43" s="8"/>
      <c r="Z43" s="28"/>
      <c r="AA43" s="8"/>
      <c r="AB43" s="40"/>
      <c r="AC43" s="37"/>
      <c r="AD43" s="27"/>
      <c r="AE43" s="28"/>
      <c r="AF43" s="8"/>
      <c r="AG43" s="43"/>
      <c r="AH43" s="8"/>
      <c r="AI43" s="28"/>
      <c r="AJ43" s="29"/>
      <c r="AK43" s="45"/>
      <c r="AL43" s="45"/>
      <c r="AM43" s="45"/>
      <c r="AN43" s="45"/>
      <c r="AO43" s="45"/>
      <c r="AP43" s="45"/>
      <c r="AQ43" s="45"/>
      <c r="AR43" s="45"/>
      <c r="AS43" s="3"/>
      <c r="AT43" s="45"/>
      <c r="AU43" s="45"/>
      <c r="AV43" s="45"/>
      <c r="AW43" s="45"/>
      <c r="AX43" s="45"/>
      <c r="AY43" s="45"/>
      <c r="AZ43" s="45"/>
    </row>
    <row r="44" spans="1:54" ht="12" customHeight="1" x14ac:dyDescent="0.3">
      <c r="U44" s="27"/>
      <c r="V44" s="59"/>
      <c r="W44" s="70"/>
      <c r="X44" s="28"/>
      <c r="Y44" s="8"/>
      <c r="Z44" s="28"/>
      <c r="AA44" s="8"/>
      <c r="AB44" s="40"/>
      <c r="AC44" s="37"/>
      <c r="AD44" s="27"/>
      <c r="AE44" s="28"/>
      <c r="AF44" s="8"/>
      <c r="AG44" s="43"/>
      <c r="AH44" s="8"/>
      <c r="AI44" s="28"/>
      <c r="AJ44" s="29"/>
      <c r="AK44" s="45"/>
      <c r="AL44" s="45"/>
      <c r="AM44" s="45"/>
      <c r="AN44" s="45"/>
      <c r="AO44" s="45"/>
      <c r="AP44" s="45"/>
      <c r="AQ44" s="45"/>
      <c r="AR44" s="45"/>
      <c r="AS44" s="3"/>
      <c r="AT44" s="45"/>
      <c r="AU44" s="45"/>
      <c r="AV44" s="45"/>
      <c r="AW44" s="45"/>
      <c r="AX44" s="45"/>
      <c r="AY44" s="45"/>
      <c r="AZ44" s="45"/>
    </row>
    <row r="45" spans="1:54" x14ac:dyDescent="0.3">
      <c r="A45" s="12" t="s">
        <v>187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U45" s="27"/>
      <c r="V45" s="59"/>
      <c r="W45" s="70"/>
      <c r="X45" s="28"/>
      <c r="Y45" s="8"/>
      <c r="Z45" s="28"/>
      <c r="AA45" s="8"/>
      <c r="AB45" s="40"/>
      <c r="AC45" s="37"/>
      <c r="AD45" s="27"/>
      <c r="AE45" s="28"/>
      <c r="AF45" s="8"/>
      <c r="AG45" s="43"/>
      <c r="AH45" s="8"/>
      <c r="AI45" s="28"/>
      <c r="AJ45" s="29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</row>
    <row r="46" spans="1:54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106"/>
      <c r="P46" s="106"/>
      <c r="U46" s="27"/>
      <c r="V46" s="59"/>
      <c r="W46" s="70"/>
      <c r="X46" s="28"/>
      <c r="Y46" s="8"/>
      <c r="Z46" s="28"/>
      <c r="AA46" s="8"/>
      <c r="AB46" s="40"/>
      <c r="AC46" s="37"/>
      <c r="AD46" s="27"/>
      <c r="AE46" s="28"/>
      <c r="AF46" s="8"/>
      <c r="AG46" s="43"/>
      <c r="AH46" s="8"/>
      <c r="AI46" s="28"/>
      <c r="AJ46" s="29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</row>
    <row r="47" spans="1:54" x14ac:dyDescent="0.3">
      <c r="A47" s="2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U47" s="27"/>
      <c r="V47" s="59"/>
      <c r="W47" s="70"/>
      <c r="X47" s="28"/>
      <c r="Y47" s="8"/>
      <c r="Z47" s="28"/>
      <c r="AA47" s="8"/>
      <c r="AB47" s="40"/>
      <c r="AC47" s="37"/>
      <c r="AD47" s="27"/>
      <c r="AE47" s="28"/>
      <c r="AF47" s="8"/>
      <c r="AG47" s="43"/>
      <c r="AH47" s="8"/>
      <c r="AI47" s="28"/>
      <c r="AJ47" s="29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</row>
    <row r="48" spans="1:54" ht="12" customHeight="1" x14ac:dyDescent="0.3">
      <c r="A48" s="106"/>
      <c r="U48" s="27"/>
      <c r="V48" s="59"/>
      <c r="W48" s="70"/>
      <c r="X48" s="28"/>
      <c r="Y48" s="8"/>
      <c r="Z48" s="28"/>
      <c r="AA48" s="8"/>
      <c r="AB48" s="40"/>
      <c r="AC48" s="37"/>
      <c r="AD48" s="27"/>
      <c r="AE48" s="28"/>
      <c r="AF48" s="8"/>
      <c r="AG48" s="43"/>
      <c r="AH48" s="8"/>
      <c r="AI48" s="28"/>
      <c r="AJ48" s="29"/>
      <c r="AK48" s="45"/>
      <c r="AL48" s="45"/>
      <c r="AM48" s="45"/>
      <c r="AN48" s="45"/>
      <c r="AO48" s="45"/>
      <c r="AP48" s="45"/>
      <c r="AQ48" s="45"/>
      <c r="AR48" s="45"/>
      <c r="AS48" s="3"/>
      <c r="AT48" s="45"/>
      <c r="AU48" s="45"/>
      <c r="AV48" s="45"/>
      <c r="AW48" s="45"/>
      <c r="AX48" s="45"/>
      <c r="AY48" s="45"/>
      <c r="AZ48" s="45"/>
    </row>
    <row r="49" spans="1:52" ht="14.5" x14ac:dyDescent="0.35">
      <c r="A49" s="9"/>
      <c r="B49" s="4" t="s">
        <v>11</v>
      </c>
      <c r="C49" s="3"/>
      <c r="D49" s="3"/>
      <c r="E49" s="3"/>
      <c r="F49" s="149" t="s">
        <v>55</v>
      </c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65">
        <f>SUM(A50:A56)</f>
        <v>6</v>
      </c>
      <c r="R49" s="151">
        <f>SUM(A50:A56)/6</f>
        <v>1</v>
      </c>
      <c r="S49" s="152"/>
      <c r="T49" s="3"/>
      <c r="U49" s="27"/>
      <c r="V49" s="59"/>
      <c r="W49" s="70"/>
      <c r="X49" s="28"/>
      <c r="Y49" s="8"/>
      <c r="Z49" s="28"/>
      <c r="AA49" s="8"/>
      <c r="AB49" s="40"/>
      <c r="AC49" s="37"/>
      <c r="AD49" s="27"/>
      <c r="AE49" s="28"/>
      <c r="AF49" s="8"/>
      <c r="AG49" s="43"/>
      <c r="AH49" s="8"/>
      <c r="AI49" s="28"/>
      <c r="AJ49" s="29"/>
      <c r="AK49" s="45"/>
      <c r="AL49" s="45"/>
      <c r="AM49" s="45"/>
      <c r="AN49" s="45"/>
      <c r="AO49" s="45"/>
      <c r="AP49" s="45"/>
      <c r="AQ49" s="45"/>
      <c r="AR49" s="45"/>
      <c r="AS49" s="3"/>
      <c r="AT49" s="45"/>
      <c r="AU49" s="45"/>
      <c r="AV49" s="45"/>
      <c r="AW49" s="45"/>
      <c r="AX49" s="45"/>
      <c r="AY49" s="45"/>
      <c r="AZ49" s="45"/>
    </row>
    <row r="50" spans="1:52" x14ac:dyDescent="0.3">
      <c r="A50" s="8">
        <v>1</v>
      </c>
      <c r="B50" s="5" t="s">
        <v>56</v>
      </c>
      <c r="D50" s="1" t="s">
        <v>50</v>
      </c>
      <c r="E50" s="6" t="s">
        <v>57</v>
      </c>
      <c r="F50" s="1">
        <f>F43+1</f>
        <v>24</v>
      </c>
      <c r="G50" s="130" t="s">
        <v>189</v>
      </c>
      <c r="U50" s="27"/>
      <c r="V50" s="59"/>
      <c r="W50" s="70"/>
      <c r="X50" s="28"/>
      <c r="Y50" s="8"/>
      <c r="Z50" s="28"/>
      <c r="AA50" s="8"/>
      <c r="AB50" s="40"/>
      <c r="AC50" s="37"/>
      <c r="AD50" s="27"/>
      <c r="AE50" s="28"/>
      <c r="AF50" s="8"/>
      <c r="AG50" s="43"/>
      <c r="AH50" s="8"/>
      <c r="AI50" s="28"/>
      <c r="AJ50" s="29"/>
      <c r="AK50" s="45"/>
      <c r="AL50" s="45"/>
      <c r="AM50" s="45"/>
      <c r="AN50" s="45"/>
      <c r="AO50" s="45"/>
      <c r="AP50" s="45"/>
      <c r="AQ50" s="45"/>
      <c r="AR50" s="45"/>
      <c r="AS50" s="3"/>
      <c r="AT50" s="45"/>
      <c r="AU50" s="45"/>
      <c r="AV50" s="45"/>
      <c r="AW50" s="45"/>
      <c r="AX50" s="45"/>
      <c r="AY50" s="45"/>
      <c r="AZ50" s="45"/>
    </row>
    <row r="51" spans="1:52" s="74" customFormat="1" x14ac:dyDescent="0.3">
      <c r="A51" s="72">
        <v>1</v>
      </c>
      <c r="B51" s="73" t="s">
        <v>58</v>
      </c>
      <c r="D51" s="74" t="s">
        <v>59</v>
      </c>
      <c r="E51" s="82" t="s">
        <v>57</v>
      </c>
      <c r="F51" s="74">
        <f>F50+1</f>
        <v>25</v>
      </c>
      <c r="G51" s="74" t="s">
        <v>60</v>
      </c>
      <c r="Q51" s="75"/>
      <c r="R51" s="76"/>
      <c r="S51" s="76"/>
      <c r="U51" s="77"/>
      <c r="V51" s="78"/>
      <c r="W51" s="78"/>
      <c r="X51" s="78"/>
      <c r="Y51" s="72"/>
      <c r="Z51" s="72"/>
      <c r="AA51" s="72"/>
      <c r="AB51" s="79"/>
      <c r="AC51" s="80"/>
      <c r="AD51" s="77"/>
      <c r="AE51" s="72"/>
      <c r="AF51" s="72"/>
      <c r="AG51" s="72"/>
      <c r="AH51" s="72"/>
      <c r="AI51" s="72"/>
      <c r="AJ51" s="80"/>
      <c r="AK51" s="45"/>
      <c r="AL51" s="45"/>
      <c r="AM51" s="45"/>
      <c r="AN51" s="45"/>
      <c r="AO51" s="45"/>
      <c r="AP51" s="45"/>
      <c r="AQ51" s="45"/>
      <c r="AR51" s="45"/>
      <c r="AS51" s="3"/>
      <c r="AT51" s="45"/>
      <c r="AU51" s="45"/>
      <c r="AV51" s="45"/>
      <c r="AW51" s="45"/>
      <c r="AX51" s="45"/>
      <c r="AY51" s="45"/>
      <c r="AZ51" s="45"/>
    </row>
    <row r="52" spans="1:52" x14ac:dyDescent="0.3">
      <c r="A52" s="8">
        <v>1</v>
      </c>
      <c r="B52" s="5"/>
      <c r="F52" s="1">
        <f>+F51+1</f>
        <v>26</v>
      </c>
      <c r="G52" s="1" t="s">
        <v>61</v>
      </c>
      <c r="U52" s="27"/>
      <c r="V52" s="59"/>
      <c r="W52" s="70"/>
      <c r="X52" s="28"/>
      <c r="Y52" s="8"/>
      <c r="Z52" s="28"/>
      <c r="AA52" s="8"/>
      <c r="AB52" s="40"/>
      <c r="AC52" s="37"/>
      <c r="AD52" s="27"/>
      <c r="AE52" s="28"/>
      <c r="AF52" s="8"/>
      <c r="AG52" s="43"/>
      <c r="AH52" s="8"/>
      <c r="AI52" s="28"/>
      <c r="AJ52" s="29"/>
      <c r="AK52" s="45"/>
      <c r="AL52" s="45"/>
      <c r="AM52" s="45"/>
      <c r="AN52" s="45"/>
      <c r="AO52" s="45"/>
      <c r="AP52" s="45"/>
      <c r="AQ52" s="45"/>
      <c r="AR52" s="45"/>
      <c r="AS52" s="3"/>
      <c r="AT52" s="45"/>
      <c r="AU52" s="45"/>
      <c r="AV52" s="45"/>
      <c r="AW52" s="45"/>
      <c r="AX52" s="45"/>
      <c r="AY52" s="45"/>
      <c r="AZ52" s="45"/>
    </row>
    <row r="53" spans="1:52" s="86" customFormat="1" x14ac:dyDescent="0.3">
      <c r="A53" s="84">
        <v>1</v>
      </c>
      <c r="B53" s="85" t="s">
        <v>56</v>
      </c>
      <c r="D53" s="86" t="s">
        <v>50</v>
      </c>
      <c r="F53" s="86">
        <f>F52+1</f>
        <v>27</v>
      </c>
      <c r="G53" s="86" t="s">
        <v>62</v>
      </c>
      <c r="Q53" s="87"/>
      <c r="R53" s="88"/>
      <c r="S53" s="88"/>
      <c r="U53" s="89"/>
      <c r="V53" s="90"/>
      <c r="W53" s="90"/>
      <c r="X53" s="84"/>
      <c r="Y53" s="84"/>
      <c r="Z53" s="84"/>
      <c r="AA53" s="84"/>
      <c r="AB53" s="91"/>
      <c r="AC53" s="92"/>
      <c r="AD53" s="89"/>
      <c r="AE53" s="84"/>
      <c r="AF53" s="84"/>
      <c r="AG53" s="84"/>
      <c r="AH53" s="84"/>
      <c r="AI53" s="84"/>
      <c r="AJ53" s="92"/>
      <c r="AK53" s="45"/>
      <c r="AL53" s="45"/>
      <c r="AM53" s="45"/>
      <c r="AN53" s="45"/>
      <c r="AO53" s="45"/>
      <c r="AP53" s="45"/>
      <c r="AQ53" s="45"/>
      <c r="AR53" s="45"/>
      <c r="AS53" s="3"/>
      <c r="AT53" s="45"/>
      <c r="AU53" s="45"/>
      <c r="AV53" s="45"/>
      <c r="AW53" s="45"/>
      <c r="AX53" s="45"/>
      <c r="AY53" s="45"/>
      <c r="AZ53" s="45"/>
    </row>
    <row r="54" spans="1:52" x14ac:dyDescent="0.3">
      <c r="A54" s="8">
        <v>1</v>
      </c>
      <c r="B54" s="5" t="s">
        <v>63</v>
      </c>
      <c r="D54" s="1" t="s">
        <v>48</v>
      </c>
      <c r="F54" s="1">
        <f>F53+1</f>
        <v>28</v>
      </c>
      <c r="G54" s="1" t="s">
        <v>64</v>
      </c>
      <c r="U54" s="27"/>
      <c r="V54" s="59"/>
      <c r="W54" s="70"/>
      <c r="X54" s="28"/>
      <c r="Y54" s="126"/>
      <c r="Z54" s="28"/>
      <c r="AA54" s="8"/>
      <c r="AB54" s="40"/>
      <c r="AC54" s="37"/>
      <c r="AD54" s="27"/>
      <c r="AE54" s="28"/>
      <c r="AF54" s="8"/>
      <c r="AG54" s="43"/>
      <c r="AH54" s="8"/>
      <c r="AI54" s="28"/>
      <c r="AJ54" s="29"/>
      <c r="AK54" s="45"/>
      <c r="AL54" s="45"/>
      <c r="AM54" s="45"/>
      <c r="AN54" s="45"/>
      <c r="AO54" s="45"/>
      <c r="AP54" s="45"/>
      <c r="AQ54" s="45"/>
      <c r="AR54" s="45"/>
      <c r="AS54" s="3"/>
      <c r="AT54" s="45"/>
      <c r="AU54" s="45"/>
      <c r="AV54" s="45"/>
      <c r="AW54" s="45"/>
      <c r="AX54" s="45"/>
      <c r="AY54" s="45"/>
      <c r="AZ54" s="45"/>
    </row>
    <row r="55" spans="1:52" s="74" customFormat="1" x14ac:dyDescent="0.3">
      <c r="A55" s="72">
        <v>1</v>
      </c>
      <c r="B55" s="73" t="s">
        <v>56</v>
      </c>
      <c r="D55" s="74" t="s">
        <v>50</v>
      </c>
      <c r="E55" s="82" t="s">
        <v>57</v>
      </c>
      <c r="F55" s="74">
        <f>F54+1</f>
        <v>29</v>
      </c>
      <c r="G55" s="74" t="s">
        <v>65</v>
      </c>
      <c r="Q55" s="75"/>
      <c r="R55" s="76"/>
      <c r="S55" s="76"/>
      <c r="U55" s="77"/>
      <c r="V55" s="78"/>
      <c r="W55" s="78"/>
      <c r="X55" s="72"/>
      <c r="Y55" s="72"/>
      <c r="Z55" s="72"/>
      <c r="AA55" s="72"/>
      <c r="AB55" s="79"/>
      <c r="AC55" s="80"/>
      <c r="AD55" s="77"/>
      <c r="AE55" s="72"/>
      <c r="AF55" s="72"/>
      <c r="AG55" s="72"/>
      <c r="AH55" s="72"/>
      <c r="AI55" s="72"/>
      <c r="AJ55" s="80"/>
      <c r="AK55" s="45"/>
      <c r="AL55" s="45"/>
      <c r="AM55" s="45"/>
      <c r="AN55" s="45"/>
      <c r="AO55" s="45"/>
      <c r="AP55" s="45"/>
      <c r="AQ55" s="45"/>
      <c r="AR55" s="45"/>
      <c r="AS55" s="3"/>
      <c r="AT55" s="45"/>
      <c r="AU55" s="45"/>
      <c r="AV55" s="45"/>
      <c r="AW55" s="45"/>
      <c r="AX55" s="45"/>
      <c r="AY55" s="45"/>
      <c r="AZ55" s="45"/>
    </row>
    <row r="56" spans="1:52" x14ac:dyDescent="0.3">
      <c r="A56" s="8"/>
      <c r="B56" s="5"/>
      <c r="F56" s="1">
        <f>F55+1</f>
        <v>30</v>
      </c>
      <c r="G56" s="1" t="s">
        <v>31</v>
      </c>
      <c r="U56" s="27"/>
      <c r="V56" s="59"/>
      <c r="W56" s="70"/>
      <c r="X56" s="28"/>
      <c r="Y56" s="8"/>
      <c r="Z56" s="28"/>
      <c r="AA56" s="8"/>
      <c r="AB56" s="40"/>
      <c r="AC56" s="37"/>
      <c r="AD56" s="27"/>
      <c r="AE56" s="28"/>
      <c r="AF56" s="8"/>
      <c r="AG56" s="43"/>
      <c r="AH56" s="8"/>
      <c r="AI56" s="28"/>
      <c r="AJ56" s="29"/>
      <c r="AK56" s="45"/>
      <c r="AL56" s="45"/>
      <c r="AM56" s="45"/>
      <c r="AN56" s="45"/>
      <c r="AO56" s="45"/>
      <c r="AP56" s="45"/>
      <c r="AQ56" s="45"/>
      <c r="AR56" s="45"/>
      <c r="AS56" s="3"/>
      <c r="AT56" s="45"/>
      <c r="AU56" s="45"/>
      <c r="AV56" s="45"/>
      <c r="AW56" s="45"/>
      <c r="AX56" s="45"/>
      <c r="AY56" s="45"/>
      <c r="AZ56" s="45"/>
    </row>
    <row r="57" spans="1:52" x14ac:dyDescent="0.3">
      <c r="U57" s="27"/>
      <c r="V57" s="59"/>
      <c r="W57" s="70"/>
      <c r="X57" s="28"/>
      <c r="Y57" s="8"/>
      <c r="Z57" s="28"/>
      <c r="AA57" s="8"/>
      <c r="AB57" s="40"/>
      <c r="AC57" s="37"/>
      <c r="AD57" s="27"/>
      <c r="AE57" s="28"/>
      <c r="AF57" s="8"/>
      <c r="AG57" s="43"/>
      <c r="AH57" s="8"/>
      <c r="AI57" s="28"/>
      <c r="AJ57" s="29"/>
      <c r="AK57" s="45"/>
      <c r="AL57" s="45"/>
      <c r="AM57" s="45"/>
      <c r="AN57" s="45"/>
      <c r="AO57" s="45"/>
      <c r="AP57" s="45"/>
      <c r="AQ57" s="45"/>
      <c r="AR57" s="45"/>
      <c r="AS57" s="3"/>
      <c r="AT57" s="45"/>
      <c r="AU57" s="45"/>
      <c r="AV57" s="45"/>
      <c r="AW57" s="45"/>
      <c r="AX57" s="45"/>
      <c r="AY57" s="45"/>
      <c r="AZ57" s="45"/>
    </row>
    <row r="58" spans="1:52" x14ac:dyDescent="0.3">
      <c r="A58" s="12" t="s">
        <v>187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U58" s="27"/>
      <c r="V58" s="59"/>
      <c r="W58" s="70"/>
      <c r="X58" s="28"/>
      <c r="Y58" s="8"/>
      <c r="Z58" s="28"/>
      <c r="AA58" s="8"/>
      <c r="AB58" s="40"/>
      <c r="AC58" s="37"/>
      <c r="AD58" s="27"/>
      <c r="AE58" s="28"/>
      <c r="AF58" s="8"/>
      <c r="AG58" s="43"/>
      <c r="AH58" s="8"/>
      <c r="AI58" s="28"/>
      <c r="AJ58" s="29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</row>
    <row r="59" spans="1:52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106"/>
      <c r="P59" s="106"/>
      <c r="U59" s="27"/>
      <c r="V59" s="59"/>
      <c r="W59" s="70"/>
      <c r="X59" s="28"/>
      <c r="Y59" s="8"/>
      <c r="Z59" s="28"/>
      <c r="AA59" s="8"/>
      <c r="AB59" s="40"/>
      <c r="AC59" s="37"/>
      <c r="AD59" s="27"/>
      <c r="AE59" s="28"/>
      <c r="AF59" s="8"/>
      <c r="AG59" s="43"/>
      <c r="AH59" s="8"/>
      <c r="AI59" s="28"/>
      <c r="AJ59" s="29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</row>
    <row r="60" spans="1:52" x14ac:dyDescent="0.3">
      <c r="A60" s="22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U60" s="27"/>
      <c r="V60" s="59"/>
      <c r="W60" s="70"/>
      <c r="X60" s="28"/>
      <c r="Y60" s="8"/>
      <c r="Z60" s="28"/>
      <c r="AA60" s="8"/>
      <c r="AB60" s="40"/>
      <c r="AC60" s="37"/>
      <c r="AD60" s="27"/>
      <c r="AE60" s="28"/>
      <c r="AF60" s="8"/>
      <c r="AG60" s="43"/>
      <c r="AH60" s="8"/>
      <c r="AI60" s="28"/>
      <c r="AJ60" s="29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</row>
    <row r="61" spans="1:52" x14ac:dyDescent="0.3">
      <c r="U61" s="27"/>
      <c r="V61" s="59"/>
      <c r="W61" s="70"/>
      <c r="X61" s="28"/>
      <c r="Y61" s="8"/>
      <c r="Z61" s="28"/>
      <c r="AA61" s="8"/>
      <c r="AB61" s="40"/>
      <c r="AC61" s="37"/>
      <c r="AD61" s="27"/>
      <c r="AE61" s="28"/>
      <c r="AF61" s="8"/>
      <c r="AG61" s="43"/>
      <c r="AH61" s="8"/>
      <c r="AI61" s="28"/>
      <c r="AJ61" s="29"/>
      <c r="AK61" s="45"/>
      <c r="AL61" s="45"/>
      <c r="AM61" s="45"/>
      <c r="AN61" s="45"/>
      <c r="AO61" s="45"/>
      <c r="AP61" s="45"/>
      <c r="AQ61" s="45"/>
      <c r="AR61" s="45"/>
      <c r="AS61" s="3"/>
      <c r="AT61" s="45"/>
      <c r="AU61" s="45"/>
      <c r="AV61" s="45"/>
      <c r="AW61" s="45"/>
      <c r="AX61" s="45"/>
      <c r="AY61" s="45"/>
      <c r="AZ61" s="45"/>
    </row>
    <row r="62" spans="1:52" ht="14.5" x14ac:dyDescent="0.35">
      <c r="A62" s="9"/>
      <c r="B62" s="4" t="s">
        <v>11</v>
      </c>
      <c r="C62" s="3"/>
      <c r="D62" s="3"/>
      <c r="E62" s="3"/>
      <c r="F62" s="149" t="s">
        <v>66</v>
      </c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65">
        <f>SUM(A63:A70)</f>
        <v>7</v>
      </c>
      <c r="R62" s="151">
        <f>SUM(A63:A70)/7</f>
        <v>1</v>
      </c>
      <c r="S62" s="152"/>
      <c r="U62" s="27"/>
      <c r="V62" s="59"/>
      <c r="W62" s="70"/>
      <c r="X62" s="28"/>
      <c r="Y62" s="8"/>
      <c r="Z62" s="28"/>
      <c r="AA62" s="8"/>
      <c r="AB62" s="40"/>
      <c r="AC62" s="37"/>
      <c r="AD62" s="27"/>
      <c r="AE62" s="28"/>
      <c r="AF62" s="8"/>
      <c r="AG62" s="43"/>
      <c r="AH62" s="8"/>
      <c r="AI62" s="28"/>
      <c r="AJ62" s="29"/>
      <c r="AK62" s="45"/>
      <c r="AL62" s="45"/>
      <c r="AM62" s="45"/>
      <c r="AN62" s="45"/>
      <c r="AO62" s="45"/>
      <c r="AP62" s="45"/>
      <c r="AQ62" s="45"/>
      <c r="AR62" s="45"/>
      <c r="AS62" s="3"/>
      <c r="AT62" s="45"/>
      <c r="AU62" s="45"/>
      <c r="AV62" s="45"/>
      <c r="AW62" s="45"/>
      <c r="AX62" s="45"/>
      <c r="AY62" s="45"/>
      <c r="AZ62" s="45"/>
    </row>
    <row r="63" spans="1:52" x14ac:dyDescent="0.3">
      <c r="A63" s="8">
        <v>1</v>
      </c>
      <c r="B63" s="5" t="s">
        <v>206</v>
      </c>
      <c r="D63" s="1" t="s">
        <v>48</v>
      </c>
      <c r="E63" s="6" t="s">
        <v>46</v>
      </c>
      <c r="F63" s="1">
        <f>F56+1</f>
        <v>31</v>
      </c>
      <c r="G63" s="130" t="s">
        <v>204</v>
      </c>
      <c r="U63" s="27"/>
      <c r="V63" s="59"/>
      <c r="W63" s="70"/>
      <c r="X63" s="28"/>
      <c r="Y63" s="8"/>
      <c r="Z63" s="28"/>
      <c r="AA63" s="8"/>
      <c r="AB63" s="40"/>
      <c r="AC63" s="37"/>
      <c r="AD63" s="27"/>
      <c r="AE63" s="28"/>
      <c r="AF63" s="8"/>
      <c r="AG63" s="43"/>
      <c r="AH63" s="8"/>
      <c r="AI63" s="28"/>
      <c r="AJ63" s="29"/>
      <c r="AK63" s="45"/>
      <c r="AL63" s="45"/>
      <c r="AM63" s="45"/>
      <c r="AN63" s="45"/>
      <c r="AO63" s="45"/>
      <c r="AP63" s="45"/>
      <c r="AQ63" s="45"/>
      <c r="AR63" s="45"/>
      <c r="AS63" s="3"/>
      <c r="AT63" s="45"/>
      <c r="AU63" s="45"/>
      <c r="AV63" s="45"/>
      <c r="AW63" s="45"/>
      <c r="AX63" s="45"/>
      <c r="AY63" s="45"/>
      <c r="AZ63" s="45"/>
    </row>
    <row r="64" spans="1:52" s="86" customFormat="1" x14ac:dyDescent="0.3">
      <c r="A64" s="84">
        <v>1</v>
      </c>
      <c r="B64" s="85" t="s">
        <v>67</v>
      </c>
      <c r="D64" s="93" t="s">
        <v>50</v>
      </c>
      <c r="E64" s="93" t="s">
        <v>69</v>
      </c>
      <c r="F64" s="86">
        <f>F63+1</f>
        <v>32</v>
      </c>
      <c r="G64" s="86" t="s">
        <v>207</v>
      </c>
      <c r="Q64" s="87"/>
      <c r="R64" s="88"/>
      <c r="S64" s="88"/>
      <c r="U64" s="89"/>
      <c r="V64" s="90"/>
      <c r="W64" s="90"/>
      <c r="X64" s="84"/>
      <c r="Y64" s="84"/>
      <c r="Z64" s="84"/>
      <c r="AA64" s="84"/>
      <c r="AB64" s="91"/>
      <c r="AC64" s="92"/>
      <c r="AD64" s="89"/>
      <c r="AE64" s="84"/>
      <c r="AF64" s="84"/>
      <c r="AG64" s="84"/>
      <c r="AH64" s="84"/>
      <c r="AI64" s="84"/>
      <c r="AJ64" s="92"/>
      <c r="AK64" s="45"/>
      <c r="AL64" s="45"/>
      <c r="AM64" s="45"/>
      <c r="AN64" s="45"/>
      <c r="AO64" s="45"/>
      <c r="AP64" s="45"/>
      <c r="AQ64" s="45"/>
      <c r="AR64" s="45"/>
      <c r="AS64" s="3"/>
      <c r="AT64" s="45"/>
      <c r="AU64" s="45"/>
      <c r="AV64" s="45"/>
      <c r="AW64" s="45"/>
      <c r="AX64" s="45"/>
      <c r="AY64" s="45"/>
      <c r="AZ64" s="45"/>
    </row>
    <row r="65" spans="1:52" x14ac:dyDescent="0.3">
      <c r="A65" s="8">
        <v>1</v>
      </c>
      <c r="B65" s="5" t="s">
        <v>205</v>
      </c>
      <c r="D65" s="1" t="s">
        <v>70</v>
      </c>
      <c r="E65" s="6" t="s">
        <v>71</v>
      </c>
      <c r="F65" s="1">
        <f>F64+1</f>
        <v>33</v>
      </c>
      <c r="G65" s="1" t="s">
        <v>208</v>
      </c>
      <c r="U65" s="27"/>
      <c r="V65" s="59"/>
      <c r="W65" s="70"/>
      <c r="X65" s="28"/>
      <c r="Y65" s="8"/>
      <c r="Z65" s="28"/>
      <c r="AA65" s="8"/>
      <c r="AB65" s="40"/>
      <c r="AC65" s="37"/>
      <c r="AD65" s="27"/>
      <c r="AE65" s="28"/>
      <c r="AF65" s="8"/>
      <c r="AG65" s="43"/>
      <c r="AH65" s="8"/>
      <c r="AI65" s="28"/>
      <c r="AJ65" s="29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</row>
    <row r="66" spans="1:52" s="74" customFormat="1" x14ac:dyDescent="0.3">
      <c r="A66" s="72">
        <v>1</v>
      </c>
      <c r="B66" s="73" t="s">
        <v>209</v>
      </c>
      <c r="D66" s="74" t="s">
        <v>70</v>
      </c>
      <c r="E66" s="82" t="s">
        <v>72</v>
      </c>
      <c r="F66" s="74">
        <f t="shared" ref="F66" si="2">F65+1</f>
        <v>34</v>
      </c>
      <c r="G66" s="74" t="s">
        <v>210</v>
      </c>
      <c r="Q66" s="75"/>
      <c r="R66" s="76"/>
      <c r="S66" s="76"/>
      <c r="U66" s="77"/>
      <c r="V66" s="78"/>
      <c r="W66" s="78"/>
      <c r="X66" s="72"/>
      <c r="Y66" s="72"/>
      <c r="Z66" s="72"/>
      <c r="AA66" s="72"/>
      <c r="AB66" s="79"/>
      <c r="AC66" s="80"/>
      <c r="AD66" s="77"/>
      <c r="AE66" s="72"/>
      <c r="AF66" s="72"/>
      <c r="AG66" s="72"/>
      <c r="AH66" s="72"/>
      <c r="AI66" s="72"/>
      <c r="AJ66" s="80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</row>
    <row r="67" spans="1:52" x14ac:dyDescent="0.3">
      <c r="A67" s="8">
        <v>1</v>
      </c>
      <c r="B67" s="5" t="s">
        <v>68</v>
      </c>
      <c r="D67" s="1" t="s">
        <v>73</v>
      </c>
      <c r="E67" s="6" t="s">
        <v>74</v>
      </c>
      <c r="F67" s="1">
        <f>F66+1</f>
        <v>35</v>
      </c>
      <c r="G67" s="1" t="s">
        <v>211</v>
      </c>
      <c r="U67" s="27"/>
      <c r="V67" s="59"/>
      <c r="W67" s="70"/>
      <c r="X67" s="28"/>
      <c r="Y67" s="8"/>
      <c r="Z67" s="28"/>
      <c r="AA67" s="8"/>
      <c r="AB67" s="40"/>
      <c r="AC67" s="37"/>
      <c r="AD67" s="27"/>
      <c r="AE67" s="28"/>
      <c r="AF67" s="8"/>
      <c r="AG67" s="43"/>
      <c r="AH67" s="8"/>
      <c r="AI67" s="28"/>
      <c r="AJ67" s="29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</row>
    <row r="68" spans="1:52" s="86" customFormat="1" x14ac:dyDescent="0.3">
      <c r="A68" s="84">
        <v>1</v>
      </c>
      <c r="B68" s="85" t="s">
        <v>75</v>
      </c>
      <c r="F68" s="86">
        <f t="shared" ref="F68" si="3">F67+1</f>
        <v>36</v>
      </c>
      <c r="G68" s="86" t="s">
        <v>76</v>
      </c>
      <c r="Q68" s="87"/>
      <c r="R68" s="88"/>
      <c r="S68" s="88"/>
      <c r="U68" s="89"/>
      <c r="V68" s="90"/>
      <c r="W68" s="90"/>
      <c r="X68" s="84"/>
      <c r="Y68" s="84"/>
      <c r="Z68" s="84"/>
      <c r="AA68" s="84"/>
      <c r="AB68" s="91"/>
      <c r="AC68" s="92"/>
      <c r="AD68" s="89"/>
      <c r="AE68" s="84"/>
      <c r="AF68" s="84"/>
      <c r="AG68" s="84"/>
      <c r="AH68" s="84"/>
      <c r="AI68" s="84"/>
      <c r="AJ68" s="92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</row>
    <row r="69" spans="1:52" x14ac:dyDescent="0.3">
      <c r="A69" s="8">
        <v>1</v>
      </c>
      <c r="B69" s="5" t="s">
        <v>205</v>
      </c>
      <c r="F69" s="1">
        <f>F68+1</f>
        <v>37</v>
      </c>
      <c r="G69" s="1" t="s">
        <v>77</v>
      </c>
      <c r="U69" s="27"/>
      <c r="V69" s="59"/>
      <c r="W69" s="70"/>
      <c r="X69" s="28"/>
      <c r="Y69" s="8"/>
      <c r="Z69" s="28"/>
      <c r="AA69" s="8"/>
      <c r="AB69" s="40"/>
      <c r="AC69" s="37"/>
      <c r="AD69" s="27"/>
      <c r="AE69" s="28"/>
      <c r="AF69" s="8"/>
      <c r="AG69" s="43"/>
      <c r="AH69" s="8"/>
      <c r="AI69" s="28"/>
      <c r="AJ69" s="29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</row>
    <row r="70" spans="1:52" s="74" customFormat="1" x14ac:dyDescent="0.3">
      <c r="A70" s="72"/>
      <c r="B70" s="73"/>
      <c r="F70" s="74">
        <f t="shared" ref="F70" si="4">F69+1</f>
        <v>38</v>
      </c>
      <c r="G70" s="74" t="s">
        <v>31</v>
      </c>
      <c r="Q70" s="75"/>
      <c r="R70" s="76"/>
      <c r="S70" s="76"/>
      <c r="U70" s="77"/>
      <c r="V70" s="78"/>
      <c r="W70" s="78"/>
      <c r="X70" s="72"/>
      <c r="Y70" s="72"/>
      <c r="Z70" s="72"/>
      <c r="AA70" s="72"/>
      <c r="AB70" s="79"/>
      <c r="AC70" s="80"/>
      <c r="AD70" s="77"/>
      <c r="AE70" s="72"/>
      <c r="AF70" s="72"/>
      <c r="AG70" s="72"/>
      <c r="AH70" s="72"/>
      <c r="AI70" s="72"/>
      <c r="AJ70" s="80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</row>
    <row r="71" spans="1:52" x14ac:dyDescent="0.3">
      <c r="B71" s="5"/>
      <c r="U71" s="27"/>
      <c r="V71" s="59"/>
      <c r="W71" s="70"/>
      <c r="X71" s="28"/>
      <c r="Y71" s="8"/>
      <c r="Z71" s="28"/>
      <c r="AA71" s="8"/>
      <c r="AB71" s="40"/>
      <c r="AC71" s="37"/>
      <c r="AD71" s="27"/>
      <c r="AE71" s="28"/>
      <c r="AF71" s="8"/>
      <c r="AG71" s="43"/>
      <c r="AH71" s="8"/>
      <c r="AI71" s="28"/>
      <c r="AJ71" s="29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</row>
    <row r="72" spans="1:52" x14ac:dyDescent="0.3">
      <c r="A72" s="12" t="s">
        <v>190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U72" s="27"/>
      <c r="V72" s="59"/>
      <c r="W72" s="70"/>
      <c r="X72" s="28"/>
      <c r="Y72" s="8"/>
      <c r="Z72" s="28"/>
      <c r="AA72" s="8"/>
      <c r="AB72" s="40"/>
      <c r="AC72" s="37"/>
      <c r="AD72" s="27"/>
      <c r="AE72" s="28"/>
      <c r="AF72" s="8"/>
      <c r="AG72" s="43"/>
      <c r="AH72" s="8"/>
      <c r="AI72" s="28"/>
      <c r="AJ72" s="29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</row>
    <row r="73" spans="1:52" x14ac:dyDescent="0.3">
      <c r="A73" s="22" t="s">
        <v>191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106"/>
      <c r="P73" s="106"/>
      <c r="U73" s="27"/>
      <c r="V73" s="59"/>
      <c r="W73" s="70"/>
      <c r="X73" s="28"/>
      <c r="Y73" s="8"/>
      <c r="Z73" s="28"/>
      <c r="AA73" s="8"/>
      <c r="AB73" s="40"/>
      <c r="AC73" s="37"/>
      <c r="AD73" s="27"/>
      <c r="AE73" s="28"/>
      <c r="AF73" s="8"/>
      <c r="AG73" s="43"/>
      <c r="AH73" s="8"/>
      <c r="AI73" s="28"/>
      <c r="AJ73" s="29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</row>
    <row r="74" spans="1:52" ht="12.5" thickBot="1" x14ac:dyDescent="0.35">
      <c r="A74" s="22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U74" s="27"/>
      <c r="V74" s="59"/>
      <c r="W74" s="70"/>
      <c r="X74" s="28"/>
      <c r="Y74" s="8"/>
      <c r="Z74" s="28"/>
      <c r="AA74" s="8"/>
      <c r="AB74" s="40"/>
      <c r="AC74" s="37"/>
      <c r="AD74" s="27"/>
      <c r="AE74" s="28"/>
      <c r="AF74" s="8"/>
      <c r="AG74" s="43"/>
      <c r="AH74" s="8"/>
      <c r="AI74" s="28"/>
      <c r="AJ74" s="29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</row>
    <row r="75" spans="1:52" s="3" customFormat="1" ht="22.5" customHeight="1" x14ac:dyDescent="0.3">
      <c r="A75" s="183" t="s">
        <v>3</v>
      </c>
      <c r="B75" s="183"/>
      <c r="D75" s="13">
        <v>1</v>
      </c>
      <c r="E75" s="16" t="s">
        <v>4</v>
      </c>
      <c r="F75" s="16"/>
      <c r="G75" s="16"/>
      <c r="H75" s="16"/>
      <c r="K75" s="13">
        <v>0</v>
      </c>
      <c r="L75" s="16" t="s">
        <v>151</v>
      </c>
      <c r="M75" s="16"/>
      <c r="N75" s="16"/>
      <c r="O75" s="16"/>
      <c r="P75" s="16"/>
      <c r="Q75" s="65"/>
      <c r="R75" s="35"/>
      <c r="S75" s="35"/>
      <c r="U75" s="153"/>
      <c r="V75" s="154"/>
      <c r="W75" s="154"/>
      <c r="X75" s="154"/>
      <c r="Y75" s="154"/>
      <c r="Z75" s="154"/>
      <c r="AA75" s="154"/>
      <c r="AB75" s="154"/>
      <c r="AC75" s="155"/>
      <c r="AD75" s="156"/>
      <c r="AE75" s="157"/>
      <c r="AF75" s="157"/>
      <c r="AG75" s="157"/>
      <c r="AH75" s="157"/>
      <c r="AI75" s="157"/>
      <c r="AJ75" s="158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</row>
    <row r="76" spans="1:52" s="45" customFormat="1" ht="70.5" customHeight="1" x14ac:dyDescent="0.35">
      <c r="D76" s="54" t="s">
        <v>5</v>
      </c>
      <c r="E76" s="173" t="s">
        <v>6</v>
      </c>
      <c r="F76" s="174"/>
      <c r="G76" s="55"/>
      <c r="H76" s="56" t="s">
        <v>7</v>
      </c>
      <c r="I76" s="171" t="s">
        <v>8</v>
      </c>
      <c r="J76" s="172"/>
      <c r="L76" s="68" t="s">
        <v>9</v>
      </c>
      <c r="M76" s="178" t="s">
        <v>10</v>
      </c>
      <c r="N76" s="179"/>
      <c r="Q76" s="66"/>
      <c r="R76" s="46"/>
      <c r="S76" s="46"/>
      <c r="U76" s="47" t="str">
        <f>U5</f>
        <v>Mechanical Train</v>
      </c>
      <c r="V76" s="57" t="str">
        <f t="shared" ref="V76:AJ76" si="5">V5</f>
        <v>Electrical Train</v>
      </c>
      <c r="W76" s="61" t="str">
        <f t="shared" si="5"/>
        <v>Plumbing Tharp</v>
      </c>
      <c r="X76" s="48" t="str">
        <f t="shared" si="5"/>
        <v>B</v>
      </c>
      <c r="Y76" s="49" t="str">
        <f t="shared" si="5"/>
        <v>C</v>
      </c>
      <c r="Z76" s="48">
        <f t="shared" si="5"/>
        <v>0</v>
      </c>
      <c r="AA76" s="49">
        <f t="shared" si="5"/>
        <v>0</v>
      </c>
      <c r="AB76" s="50">
        <f t="shared" si="5"/>
        <v>0</v>
      </c>
      <c r="AC76" s="51" t="str">
        <f t="shared" si="5"/>
        <v>Loading Dock</v>
      </c>
      <c r="AD76" s="47">
        <f t="shared" si="5"/>
        <v>0</v>
      </c>
      <c r="AE76" s="48" t="str">
        <f t="shared" si="5"/>
        <v>Mechanical Train</v>
      </c>
      <c r="AF76" s="49" t="str">
        <f t="shared" si="5"/>
        <v>Electrical Train</v>
      </c>
      <c r="AG76" s="52" t="str">
        <f t="shared" si="5"/>
        <v>Plumbing Tharp</v>
      </c>
      <c r="AH76" s="53">
        <f t="shared" si="5"/>
        <v>0</v>
      </c>
      <c r="AI76" s="48">
        <f t="shared" si="5"/>
        <v>0</v>
      </c>
      <c r="AJ76" s="53">
        <f t="shared" si="5"/>
        <v>0</v>
      </c>
    </row>
    <row r="77" spans="1:52" x14ac:dyDescent="0.3">
      <c r="U77" s="27"/>
      <c r="V77" s="59"/>
      <c r="W77" s="70"/>
      <c r="X77" s="28"/>
      <c r="Y77" s="8"/>
      <c r="Z77" s="28"/>
      <c r="AA77" s="8"/>
      <c r="AB77" s="40"/>
      <c r="AC77" s="37"/>
      <c r="AD77" s="27"/>
      <c r="AE77" s="28"/>
      <c r="AF77" s="8"/>
      <c r="AG77" s="43"/>
      <c r="AH77" s="8"/>
      <c r="AI77" s="28"/>
      <c r="AJ77" s="29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</row>
    <row r="78" spans="1:52" ht="14.5" x14ac:dyDescent="0.35">
      <c r="A78" s="9"/>
      <c r="B78" s="4" t="s">
        <v>11</v>
      </c>
      <c r="C78" s="3"/>
      <c r="D78" s="3"/>
      <c r="E78" s="3"/>
      <c r="F78" s="149" t="s">
        <v>163</v>
      </c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64">
        <f>SUM(A79:A85)</f>
        <v>6</v>
      </c>
      <c r="R78" s="151">
        <f>SUM(A79:A86)/6</f>
        <v>1</v>
      </c>
      <c r="S78" s="152"/>
      <c r="U78" s="27"/>
      <c r="V78" s="59"/>
      <c r="W78" s="70"/>
      <c r="X78" s="28"/>
      <c r="Y78" s="8"/>
      <c r="Z78" s="28"/>
      <c r="AA78" s="8"/>
      <c r="AB78" s="40"/>
      <c r="AC78" s="37"/>
      <c r="AD78" s="27"/>
      <c r="AE78" s="28"/>
      <c r="AF78" s="8"/>
      <c r="AG78" s="43"/>
      <c r="AH78" s="8"/>
      <c r="AI78" s="28"/>
      <c r="AJ78" s="29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</row>
    <row r="79" spans="1:52" x14ac:dyDescent="0.3">
      <c r="A79" s="8">
        <v>1</v>
      </c>
      <c r="B79" s="5" t="s">
        <v>78</v>
      </c>
      <c r="D79" s="6" t="s">
        <v>50</v>
      </c>
      <c r="E79" s="6" t="s">
        <v>57</v>
      </c>
      <c r="F79" s="1">
        <f>F70+1</f>
        <v>39</v>
      </c>
      <c r="G79" s="1" t="s">
        <v>114</v>
      </c>
      <c r="U79" s="27"/>
      <c r="V79" s="59"/>
      <c r="W79" s="70"/>
      <c r="X79" s="124"/>
      <c r="Y79" s="8"/>
      <c r="Z79" s="28"/>
      <c r="AA79" s="8"/>
      <c r="AB79" s="40"/>
      <c r="AC79" s="37"/>
      <c r="AD79" s="27"/>
      <c r="AE79" s="28"/>
      <c r="AF79" s="8"/>
      <c r="AG79" s="43"/>
      <c r="AH79" s="8"/>
      <c r="AI79" s="28"/>
      <c r="AJ79" s="29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</row>
    <row r="80" spans="1:52" s="86" customFormat="1" x14ac:dyDescent="0.3">
      <c r="A80" s="84">
        <v>1</v>
      </c>
      <c r="B80" s="85" t="s">
        <v>78</v>
      </c>
      <c r="D80" s="93" t="s">
        <v>50</v>
      </c>
      <c r="E80" s="93" t="s">
        <v>72</v>
      </c>
      <c r="F80" s="86">
        <f t="shared" ref="F80:F85" si="6">F79+1</f>
        <v>40</v>
      </c>
      <c r="G80" s="86" t="s">
        <v>164</v>
      </c>
      <c r="Q80" s="87"/>
      <c r="R80" s="88"/>
      <c r="S80" s="88"/>
      <c r="U80" s="89"/>
      <c r="V80" s="90"/>
      <c r="W80" s="90"/>
      <c r="X80" s="84"/>
      <c r="Y80" s="84"/>
      <c r="Z80" s="84"/>
      <c r="AA80" s="84"/>
      <c r="AB80" s="91"/>
      <c r="AC80" s="92"/>
      <c r="AD80" s="89"/>
      <c r="AE80" s="84"/>
      <c r="AF80" s="84"/>
      <c r="AG80" s="84"/>
      <c r="AH80" s="84"/>
      <c r="AI80" s="84"/>
      <c r="AJ80" s="92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</row>
    <row r="81" spans="1:52" x14ac:dyDescent="0.3">
      <c r="A81" s="17">
        <v>1</v>
      </c>
      <c r="B81" s="5" t="s">
        <v>78</v>
      </c>
      <c r="D81" s="6" t="s">
        <v>50</v>
      </c>
      <c r="E81" s="6"/>
      <c r="F81" s="1">
        <f t="shared" si="6"/>
        <v>41</v>
      </c>
      <c r="G81" s="1" t="s">
        <v>165</v>
      </c>
      <c r="U81" s="27"/>
      <c r="V81" s="59"/>
      <c r="W81" s="70"/>
      <c r="X81" s="28"/>
      <c r="Y81" s="8"/>
      <c r="Z81" s="28"/>
      <c r="AA81" s="8"/>
      <c r="AB81" s="40"/>
      <c r="AC81" s="37"/>
      <c r="AD81" s="27"/>
      <c r="AE81" s="28"/>
      <c r="AF81" s="8"/>
      <c r="AG81" s="43"/>
      <c r="AH81" s="8"/>
      <c r="AI81" s="28"/>
      <c r="AJ81" s="29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</row>
    <row r="82" spans="1:52" s="74" customFormat="1" x14ac:dyDescent="0.3">
      <c r="A82" s="83">
        <v>1</v>
      </c>
      <c r="B82" s="73" t="s">
        <v>78</v>
      </c>
      <c r="D82" s="82" t="s">
        <v>50</v>
      </c>
      <c r="E82" s="82" t="s">
        <v>79</v>
      </c>
      <c r="F82" s="74">
        <f t="shared" si="6"/>
        <v>42</v>
      </c>
      <c r="G82" s="74" t="s">
        <v>166</v>
      </c>
      <c r="Q82" s="75"/>
      <c r="R82" s="76"/>
      <c r="S82" s="76"/>
      <c r="U82" s="77"/>
      <c r="V82" s="78"/>
      <c r="W82" s="78"/>
      <c r="X82" s="72"/>
      <c r="Y82" s="72"/>
      <c r="Z82" s="72"/>
      <c r="AA82" s="72"/>
      <c r="AB82" s="79"/>
      <c r="AC82" s="80"/>
      <c r="AD82" s="77"/>
      <c r="AE82" s="72"/>
      <c r="AF82" s="72"/>
      <c r="AG82" s="72"/>
      <c r="AH82" s="72"/>
      <c r="AI82" s="72"/>
      <c r="AJ82" s="80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</row>
    <row r="83" spans="1:52" x14ac:dyDescent="0.3">
      <c r="A83" s="17">
        <v>1</v>
      </c>
      <c r="B83" s="5" t="s">
        <v>80</v>
      </c>
      <c r="D83" s="6" t="s">
        <v>48</v>
      </c>
      <c r="E83" s="6"/>
      <c r="F83" s="1">
        <f t="shared" si="6"/>
        <v>43</v>
      </c>
      <c r="G83" s="1" t="s">
        <v>192</v>
      </c>
      <c r="U83" s="27"/>
      <c r="V83" s="59"/>
      <c r="W83" s="70"/>
      <c r="X83" s="124" t="s">
        <v>5</v>
      </c>
      <c r="Y83" s="8"/>
      <c r="Z83" s="28"/>
      <c r="AA83" s="8"/>
      <c r="AB83" s="40"/>
      <c r="AC83" s="37"/>
      <c r="AD83" s="27"/>
      <c r="AE83" s="28"/>
      <c r="AF83" s="8"/>
      <c r="AG83" s="43"/>
      <c r="AH83" s="8"/>
      <c r="AI83" s="28"/>
      <c r="AJ83" s="29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</row>
    <row r="84" spans="1:52" s="86" customFormat="1" x14ac:dyDescent="0.3">
      <c r="A84" s="94">
        <v>1</v>
      </c>
      <c r="B84" s="85" t="s">
        <v>80</v>
      </c>
      <c r="D84" s="93" t="s">
        <v>48</v>
      </c>
      <c r="E84" s="93" t="s">
        <v>69</v>
      </c>
      <c r="F84" s="86">
        <f t="shared" si="6"/>
        <v>44</v>
      </c>
      <c r="G84" s="86" t="s">
        <v>167</v>
      </c>
      <c r="Q84" s="87"/>
      <c r="R84" s="88"/>
      <c r="S84" s="88"/>
      <c r="U84" s="89"/>
      <c r="V84" s="90"/>
      <c r="W84" s="90"/>
      <c r="X84" s="84"/>
      <c r="Y84" s="84"/>
      <c r="Z84" s="84"/>
      <c r="AA84" s="84"/>
      <c r="AB84" s="91"/>
      <c r="AC84" s="92"/>
      <c r="AD84" s="89"/>
      <c r="AE84" s="84"/>
      <c r="AF84" s="84"/>
      <c r="AG84" s="84"/>
      <c r="AH84" s="84"/>
      <c r="AI84" s="84"/>
      <c r="AJ84" s="92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</row>
    <row r="85" spans="1:52" x14ac:dyDescent="0.3">
      <c r="A85" s="8"/>
      <c r="B85" s="5"/>
      <c r="D85" s="6"/>
      <c r="F85" s="1">
        <f t="shared" si="6"/>
        <v>45</v>
      </c>
      <c r="G85" s="1" t="s">
        <v>31</v>
      </c>
      <c r="U85" s="27"/>
      <c r="V85" s="59"/>
      <c r="W85" s="70"/>
      <c r="X85" s="28"/>
      <c r="Y85" s="8"/>
      <c r="Z85" s="28"/>
      <c r="AA85" s="8"/>
      <c r="AB85" s="40"/>
      <c r="AC85" s="37"/>
      <c r="AD85" s="27"/>
      <c r="AE85" s="28"/>
      <c r="AF85" s="8"/>
      <c r="AG85" s="43"/>
      <c r="AH85" s="8"/>
      <c r="AI85" s="28"/>
      <c r="AJ85" s="29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</row>
    <row r="86" spans="1:52" x14ac:dyDescent="0.3">
      <c r="U86" s="27"/>
      <c r="V86" s="59"/>
      <c r="W86" s="70"/>
      <c r="X86" s="28"/>
      <c r="Y86" s="8"/>
      <c r="Z86" s="28"/>
      <c r="AA86" s="8"/>
      <c r="AB86" s="40"/>
      <c r="AC86" s="37"/>
      <c r="AD86" s="27"/>
      <c r="AE86" s="28"/>
      <c r="AF86" s="8"/>
      <c r="AG86" s="43"/>
      <c r="AH86" s="8"/>
      <c r="AI86" s="28"/>
      <c r="AJ86" s="29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</row>
    <row r="87" spans="1:52" x14ac:dyDescent="0.3">
      <c r="A87" s="12" t="s">
        <v>187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U87" s="27"/>
      <c r="V87" s="59"/>
      <c r="W87" s="70"/>
      <c r="X87" s="28"/>
      <c r="Y87" s="8"/>
      <c r="Z87" s="28"/>
      <c r="AA87" s="8"/>
      <c r="AB87" s="40"/>
      <c r="AC87" s="37"/>
      <c r="AD87" s="27"/>
      <c r="AE87" s="28"/>
      <c r="AF87" s="8"/>
      <c r="AG87" s="43"/>
      <c r="AH87" s="8"/>
      <c r="AI87" s="28"/>
      <c r="AJ87" s="29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</row>
    <row r="88" spans="1:52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106"/>
      <c r="P88" s="106"/>
      <c r="U88" s="27"/>
      <c r="V88" s="59"/>
      <c r="W88" s="70"/>
      <c r="X88" s="28"/>
      <c r="Y88" s="8"/>
      <c r="Z88" s="28"/>
      <c r="AA88" s="8"/>
      <c r="AB88" s="40"/>
      <c r="AC88" s="37"/>
      <c r="AD88" s="27"/>
      <c r="AE88" s="28"/>
      <c r="AF88" s="8"/>
      <c r="AG88" s="43"/>
      <c r="AH88" s="8"/>
      <c r="AI88" s="28"/>
      <c r="AJ88" s="29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</row>
    <row r="89" spans="1:52" x14ac:dyDescent="0.3">
      <c r="A89" s="22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U89" s="27"/>
      <c r="V89" s="59"/>
      <c r="W89" s="70"/>
      <c r="X89" s="28"/>
      <c r="Y89" s="8"/>
      <c r="Z89" s="28"/>
      <c r="AA89" s="8"/>
      <c r="AB89" s="40"/>
      <c r="AC89" s="37"/>
      <c r="AD89" s="27"/>
      <c r="AE89" s="28"/>
      <c r="AF89" s="8"/>
      <c r="AG89" s="43"/>
      <c r="AH89" s="8"/>
      <c r="AI89" s="28"/>
      <c r="AJ89" s="29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</row>
    <row r="90" spans="1:52" x14ac:dyDescent="0.3">
      <c r="U90" s="27"/>
      <c r="V90" s="59"/>
      <c r="W90" s="70"/>
      <c r="X90" s="28"/>
      <c r="Y90" s="8"/>
      <c r="Z90" s="28"/>
      <c r="AA90" s="8"/>
      <c r="AB90" s="40"/>
      <c r="AC90" s="37"/>
      <c r="AD90" s="27"/>
      <c r="AE90" s="28"/>
      <c r="AF90" s="8"/>
      <c r="AG90" s="43"/>
      <c r="AH90" s="8"/>
      <c r="AI90" s="28"/>
      <c r="AJ90" s="29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</row>
    <row r="91" spans="1:52" x14ac:dyDescent="0.3">
      <c r="A91" s="9"/>
      <c r="B91" s="4" t="s">
        <v>11</v>
      </c>
      <c r="C91" s="3"/>
      <c r="D91" s="3"/>
      <c r="E91" s="3"/>
      <c r="F91" s="15" t="s">
        <v>81</v>
      </c>
      <c r="G91" s="16"/>
      <c r="H91" s="16"/>
      <c r="I91" s="16"/>
      <c r="J91" s="16"/>
      <c r="K91" s="14"/>
      <c r="L91" s="16"/>
      <c r="M91" s="16"/>
      <c r="N91" s="16"/>
      <c r="O91" s="14"/>
      <c r="P91" s="14"/>
      <c r="Q91" s="64">
        <f>SUM(A92:A100)</f>
        <v>8</v>
      </c>
      <c r="R91" s="151">
        <f>SUM(A92:A101)/8</f>
        <v>1</v>
      </c>
      <c r="S91" s="152"/>
      <c r="U91" s="27"/>
      <c r="V91" s="59"/>
      <c r="W91" s="70"/>
      <c r="X91" s="28"/>
      <c r="Y91" s="8"/>
      <c r="Z91" s="28"/>
      <c r="AA91" s="8"/>
      <c r="AB91" s="40"/>
      <c r="AC91" s="37"/>
      <c r="AD91" s="27"/>
      <c r="AE91" s="28"/>
      <c r="AF91" s="8"/>
      <c r="AG91" s="43"/>
      <c r="AH91" s="8"/>
      <c r="AI91" s="28"/>
      <c r="AJ91" s="29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</row>
    <row r="92" spans="1:52" x14ac:dyDescent="0.3">
      <c r="A92" s="8">
        <v>1</v>
      </c>
      <c r="B92" s="5" t="s">
        <v>82</v>
      </c>
      <c r="D92" s="1" t="s">
        <v>50</v>
      </c>
      <c r="E92" s="6" t="s">
        <v>57</v>
      </c>
      <c r="F92" s="1">
        <f>F85+1</f>
        <v>46</v>
      </c>
      <c r="G92" s="1" t="s">
        <v>83</v>
      </c>
      <c r="U92" s="27"/>
      <c r="V92" s="59"/>
      <c r="W92" s="70"/>
      <c r="X92" s="28"/>
      <c r="Y92" s="8"/>
      <c r="Z92" s="28"/>
      <c r="AA92" s="8"/>
      <c r="AB92" s="40"/>
      <c r="AC92" s="37"/>
      <c r="AD92" s="27"/>
      <c r="AE92" s="28"/>
      <c r="AF92" s="8"/>
      <c r="AG92" s="43"/>
      <c r="AH92" s="8"/>
      <c r="AI92" s="28"/>
      <c r="AJ92" s="29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</row>
    <row r="93" spans="1:52" s="74" customFormat="1" x14ac:dyDescent="0.3">
      <c r="A93" s="72">
        <v>1</v>
      </c>
      <c r="B93" s="73" t="s">
        <v>82</v>
      </c>
      <c r="C93" s="82"/>
      <c r="D93" s="74" t="s">
        <v>48</v>
      </c>
      <c r="F93" s="74">
        <f>F92+1</f>
        <v>47</v>
      </c>
      <c r="G93" s="74" t="s">
        <v>84</v>
      </c>
      <c r="Q93" s="75"/>
      <c r="R93" s="76"/>
      <c r="S93" s="76"/>
      <c r="U93" s="77"/>
      <c r="V93" s="78"/>
      <c r="W93" s="78"/>
      <c r="X93" s="72"/>
      <c r="Y93" s="72"/>
      <c r="Z93" s="72"/>
      <c r="AA93" s="72"/>
      <c r="AB93" s="79"/>
      <c r="AC93" s="80"/>
      <c r="AD93" s="77"/>
      <c r="AE93" s="72"/>
      <c r="AF93" s="72"/>
      <c r="AG93" s="72"/>
      <c r="AH93" s="72"/>
      <c r="AI93" s="72"/>
      <c r="AJ93" s="80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</row>
    <row r="94" spans="1:52" x14ac:dyDescent="0.3">
      <c r="A94" s="8">
        <v>1</v>
      </c>
      <c r="B94" s="5" t="s">
        <v>82</v>
      </c>
      <c r="C94" s="6" t="s">
        <v>48</v>
      </c>
      <c r="D94" s="1" t="s">
        <v>45</v>
      </c>
      <c r="E94" s="6" t="s">
        <v>69</v>
      </c>
      <c r="F94" s="1">
        <f>F93+1</f>
        <v>48</v>
      </c>
      <c r="G94" s="1" t="s">
        <v>85</v>
      </c>
      <c r="U94" s="27"/>
      <c r="V94" s="59"/>
      <c r="W94" s="70"/>
      <c r="X94" s="28"/>
      <c r="Y94" s="8"/>
      <c r="Z94" s="28"/>
      <c r="AA94" s="8"/>
      <c r="AB94" s="40"/>
      <c r="AC94" s="37"/>
      <c r="AD94" s="27"/>
      <c r="AE94" s="28"/>
      <c r="AF94" s="8"/>
      <c r="AG94" s="43"/>
      <c r="AH94" s="8"/>
      <c r="AI94" s="28"/>
      <c r="AJ94" s="29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</row>
    <row r="95" spans="1:52" s="86" customFormat="1" x14ac:dyDescent="0.3">
      <c r="A95" s="84">
        <v>1</v>
      </c>
      <c r="B95" s="85" t="s">
        <v>82</v>
      </c>
      <c r="C95" s="93" t="s">
        <v>50</v>
      </c>
      <c r="D95" s="86" t="s">
        <v>45</v>
      </c>
      <c r="E95" s="93" t="s">
        <v>86</v>
      </c>
      <c r="F95" s="86">
        <f t="shared" ref="F95" si="7">F94+1</f>
        <v>49</v>
      </c>
      <c r="G95" s="86" t="s">
        <v>152</v>
      </c>
      <c r="Q95" s="87"/>
      <c r="R95" s="88"/>
      <c r="S95" s="88"/>
      <c r="U95" s="89"/>
      <c r="V95" s="90"/>
      <c r="W95" s="90"/>
      <c r="X95" s="84"/>
      <c r="Y95" s="84"/>
      <c r="Z95" s="84"/>
      <c r="AA95" s="84"/>
      <c r="AB95" s="91"/>
      <c r="AC95" s="92"/>
      <c r="AD95" s="89"/>
      <c r="AE95" s="84"/>
      <c r="AF95" s="84"/>
      <c r="AG95" s="84"/>
      <c r="AH95" s="84"/>
      <c r="AI95" s="84"/>
      <c r="AJ95" s="92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</row>
    <row r="96" spans="1:52" x14ac:dyDescent="0.3">
      <c r="A96" s="8">
        <v>1</v>
      </c>
      <c r="B96" s="5" t="s">
        <v>82</v>
      </c>
      <c r="D96" s="1" t="s">
        <v>45</v>
      </c>
      <c r="E96" s="6" t="s">
        <v>87</v>
      </c>
      <c r="F96" s="1">
        <f>F95+1</f>
        <v>50</v>
      </c>
      <c r="G96" s="1" t="s">
        <v>88</v>
      </c>
      <c r="U96" s="27"/>
      <c r="V96" s="59"/>
      <c r="W96" s="70"/>
      <c r="X96" s="28"/>
      <c r="Y96" s="8"/>
      <c r="Z96" s="28"/>
      <c r="AA96" s="8"/>
      <c r="AB96" s="40"/>
      <c r="AC96" s="37"/>
      <c r="AD96" s="27"/>
      <c r="AE96" s="28"/>
      <c r="AF96" s="8"/>
      <c r="AG96" s="43"/>
      <c r="AH96" s="8"/>
      <c r="AI96" s="28"/>
      <c r="AJ96" s="29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</row>
    <row r="97" spans="1:52" s="74" customFormat="1" x14ac:dyDescent="0.3">
      <c r="A97" s="72">
        <v>1</v>
      </c>
      <c r="B97" s="73" t="s">
        <v>82</v>
      </c>
      <c r="C97" s="82" t="s">
        <v>50</v>
      </c>
      <c r="D97" s="74" t="s">
        <v>45</v>
      </c>
      <c r="E97" s="82" t="s">
        <v>89</v>
      </c>
      <c r="F97" s="74">
        <f t="shared" ref="F97" si="8">F96+1</f>
        <v>51</v>
      </c>
      <c r="G97" s="74" t="s">
        <v>90</v>
      </c>
      <c r="Q97" s="75"/>
      <c r="R97" s="76"/>
      <c r="S97" s="76"/>
      <c r="U97" s="77"/>
      <c r="V97" s="78"/>
      <c r="W97" s="78"/>
      <c r="X97" s="72"/>
      <c r="Y97" s="72"/>
      <c r="Z97" s="72"/>
      <c r="AA97" s="72"/>
      <c r="AB97" s="79"/>
      <c r="AC97" s="80"/>
      <c r="AD97" s="77"/>
      <c r="AE97" s="72"/>
      <c r="AF97" s="72"/>
      <c r="AG97" s="72"/>
      <c r="AH97" s="72"/>
      <c r="AI97" s="72"/>
      <c r="AJ97" s="80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</row>
    <row r="98" spans="1:52" x14ac:dyDescent="0.3">
      <c r="A98" s="8">
        <v>1</v>
      </c>
      <c r="B98" s="5" t="s">
        <v>82</v>
      </c>
      <c r="D98" s="1" t="s">
        <v>50</v>
      </c>
      <c r="E98" s="6" t="s">
        <v>46</v>
      </c>
      <c r="F98" s="1">
        <f>F97+1</f>
        <v>52</v>
      </c>
      <c r="G98" s="1" t="s">
        <v>91</v>
      </c>
      <c r="U98" s="27"/>
      <c r="V98" s="59"/>
      <c r="W98" s="70"/>
      <c r="X98" s="28"/>
      <c r="Y98" s="8"/>
      <c r="Z98" s="28"/>
      <c r="AA98" s="8"/>
      <c r="AB98" s="40"/>
      <c r="AC98" s="37"/>
      <c r="AD98" s="27"/>
      <c r="AE98" s="28"/>
      <c r="AF98" s="8"/>
      <c r="AG98" s="43"/>
      <c r="AH98" s="8"/>
      <c r="AI98" s="28"/>
      <c r="AJ98" s="29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</row>
    <row r="99" spans="1:52" s="86" customFormat="1" x14ac:dyDescent="0.3">
      <c r="A99" s="84">
        <v>1</v>
      </c>
      <c r="B99" s="85" t="s">
        <v>82</v>
      </c>
      <c r="D99" s="86" t="s">
        <v>45</v>
      </c>
      <c r="E99" s="93" t="s">
        <v>72</v>
      </c>
      <c r="F99" s="86">
        <f t="shared" ref="F99" si="9">F98+1</f>
        <v>53</v>
      </c>
      <c r="G99" s="86" t="s">
        <v>92</v>
      </c>
      <c r="Q99" s="87"/>
      <c r="R99" s="88"/>
      <c r="S99" s="88"/>
      <c r="U99" s="89"/>
      <c r="V99" s="90"/>
      <c r="W99" s="90"/>
      <c r="X99" s="84"/>
      <c r="Y99" s="84"/>
      <c r="Z99" s="84"/>
      <c r="AA99" s="84"/>
      <c r="AB99" s="91"/>
      <c r="AC99" s="92"/>
      <c r="AD99" s="89"/>
      <c r="AE99" s="84"/>
      <c r="AF99" s="84"/>
      <c r="AG99" s="84"/>
      <c r="AH99" s="84"/>
      <c r="AI99" s="84"/>
      <c r="AJ99" s="92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</row>
    <row r="100" spans="1:52" x14ac:dyDescent="0.3">
      <c r="A100" s="8"/>
      <c r="B100" s="5"/>
      <c r="F100" s="1">
        <f>F99+1</f>
        <v>54</v>
      </c>
      <c r="G100" s="1" t="s">
        <v>31</v>
      </c>
      <c r="U100" s="27"/>
      <c r="V100" s="59"/>
      <c r="W100" s="70"/>
      <c r="X100" s="28"/>
      <c r="Y100" s="8"/>
      <c r="Z100" s="28"/>
      <c r="AA100" s="8"/>
      <c r="AB100" s="40"/>
      <c r="AC100" s="37"/>
      <c r="AD100" s="27"/>
      <c r="AE100" s="28"/>
      <c r="AF100" s="8"/>
      <c r="AG100" s="43"/>
      <c r="AH100" s="8"/>
      <c r="AI100" s="28"/>
      <c r="AJ100" s="29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</row>
    <row r="101" spans="1:52" x14ac:dyDescent="0.3">
      <c r="U101" s="27"/>
      <c r="V101" s="59"/>
      <c r="W101" s="70"/>
      <c r="X101" s="28"/>
      <c r="Y101" s="8"/>
      <c r="Z101" s="28"/>
      <c r="AA101" s="8"/>
      <c r="AB101" s="40"/>
      <c r="AC101" s="37"/>
      <c r="AD101" s="27"/>
      <c r="AE101" s="28"/>
      <c r="AF101" s="8"/>
      <c r="AG101" s="43"/>
      <c r="AH101" s="8"/>
      <c r="AI101" s="28"/>
      <c r="AJ101" s="29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</row>
    <row r="102" spans="1:52" x14ac:dyDescent="0.3">
      <c r="A102" s="12" t="s">
        <v>32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U102" s="27"/>
      <c r="V102" s="59"/>
      <c r="W102" s="70"/>
      <c r="X102" s="28"/>
      <c r="Y102" s="8"/>
      <c r="Z102" s="28"/>
      <c r="AA102" s="8"/>
      <c r="AB102" s="40"/>
      <c r="AC102" s="37"/>
      <c r="AD102" s="27"/>
      <c r="AE102" s="28"/>
      <c r="AF102" s="8"/>
      <c r="AG102" s="43"/>
      <c r="AH102" s="8"/>
      <c r="AI102" s="28"/>
      <c r="AJ102" s="29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</row>
    <row r="103" spans="1:52" x14ac:dyDescent="0.3">
      <c r="A103" s="10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U103" s="27"/>
      <c r="V103" s="59"/>
      <c r="W103" s="70"/>
      <c r="X103" s="28"/>
      <c r="Y103" s="8"/>
      <c r="Z103" s="28"/>
      <c r="AA103" s="8"/>
      <c r="AB103" s="40"/>
      <c r="AC103" s="37"/>
      <c r="AD103" s="27"/>
      <c r="AE103" s="28"/>
      <c r="AF103" s="8"/>
      <c r="AG103" s="43"/>
      <c r="AH103" s="8"/>
      <c r="AI103" s="28"/>
      <c r="AJ103" s="29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</row>
    <row r="104" spans="1:52" ht="12.5" thickBot="1" x14ac:dyDescent="0.35">
      <c r="A104" s="10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S104" s="35"/>
      <c r="T104" s="3"/>
      <c r="U104" s="23"/>
      <c r="V104" s="58"/>
      <c r="W104" s="69"/>
      <c r="X104" s="24"/>
      <c r="Y104" s="25"/>
      <c r="Z104" s="24"/>
      <c r="AA104" s="25"/>
      <c r="AB104" s="39"/>
      <c r="AC104" s="36"/>
      <c r="AD104" s="23"/>
      <c r="AE104" s="24"/>
      <c r="AF104" s="25"/>
      <c r="AG104" s="42"/>
      <c r="AH104" s="25"/>
      <c r="AI104" s="24"/>
      <c r="AJ104" s="26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</row>
    <row r="105" spans="1:52" s="3" customFormat="1" ht="22.5" customHeight="1" x14ac:dyDescent="0.3">
      <c r="A105" s="183" t="s">
        <v>3</v>
      </c>
      <c r="B105" s="183"/>
      <c r="D105" s="13">
        <v>1</v>
      </c>
      <c r="E105" s="16" t="s">
        <v>4</v>
      </c>
      <c r="F105" s="16"/>
      <c r="G105" s="16"/>
      <c r="H105" s="16"/>
      <c r="K105" s="13">
        <v>0</v>
      </c>
      <c r="L105" s="16" t="s">
        <v>151</v>
      </c>
      <c r="M105" s="16"/>
      <c r="N105" s="16"/>
      <c r="O105" s="16"/>
      <c r="P105" s="16"/>
      <c r="Q105" s="65"/>
      <c r="R105" s="35"/>
      <c r="S105" s="35"/>
      <c r="U105" s="153"/>
      <c r="V105" s="154"/>
      <c r="W105" s="154"/>
      <c r="X105" s="154"/>
      <c r="Y105" s="154"/>
      <c r="Z105" s="154"/>
      <c r="AA105" s="154"/>
      <c r="AB105" s="154"/>
      <c r="AC105" s="155"/>
      <c r="AD105" s="156"/>
      <c r="AE105" s="157"/>
      <c r="AF105" s="157"/>
      <c r="AG105" s="157"/>
      <c r="AH105" s="157"/>
      <c r="AI105" s="157"/>
      <c r="AJ105" s="158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</row>
    <row r="106" spans="1:52" s="45" customFormat="1" ht="70.5" customHeight="1" x14ac:dyDescent="0.35">
      <c r="D106" s="54" t="s">
        <v>5</v>
      </c>
      <c r="E106" s="173" t="s">
        <v>6</v>
      </c>
      <c r="F106" s="174"/>
      <c r="G106" s="55"/>
      <c r="H106" s="56" t="s">
        <v>7</v>
      </c>
      <c r="I106" s="171" t="s">
        <v>8</v>
      </c>
      <c r="J106" s="172"/>
      <c r="L106" s="68" t="s">
        <v>9</v>
      </c>
      <c r="M106" s="178" t="s">
        <v>10</v>
      </c>
      <c r="N106" s="179"/>
      <c r="Q106" s="66"/>
      <c r="R106" s="46"/>
      <c r="S106" s="46"/>
      <c r="U106" s="47" t="str">
        <f>U76</f>
        <v>Mechanical Train</v>
      </c>
      <c r="V106" s="57" t="str">
        <f t="shared" ref="V106:AJ106" si="10">V76</f>
        <v>Electrical Train</v>
      </c>
      <c r="W106" s="61" t="str">
        <f t="shared" si="10"/>
        <v>Plumbing Tharp</v>
      </c>
      <c r="X106" s="48" t="str">
        <f t="shared" si="10"/>
        <v>B</v>
      </c>
      <c r="Y106" s="49" t="str">
        <f t="shared" si="10"/>
        <v>C</v>
      </c>
      <c r="Z106" s="48">
        <f t="shared" si="10"/>
        <v>0</v>
      </c>
      <c r="AA106" s="49">
        <f t="shared" si="10"/>
        <v>0</v>
      </c>
      <c r="AB106" s="50">
        <f t="shared" si="10"/>
        <v>0</v>
      </c>
      <c r="AC106" s="51" t="str">
        <f t="shared" si="10"/>
        <v>Loading Dock</v>
      </c>
      <c r="AD106" s="47">
        <f t="shared" si="10"/>
        <v>0</v>
      </c>
      <c r="AE106" s="48" t="str">
        <f t="shared" si="10"/>
        <v>Mechanical Train</v>
      </c>
      <c r="AF106" s="49" t="str">
        <f t="shared" si="10"/>
        <v>Electrical Train</v>
      </c>
      <c r="AG106" s="52" t="str">
        <f t="shared" si="10"/>
        <v>Plumbing Tharp</v>
      </c>
      <c r="AH106" s="53">
        <f t="shared" si="10"/>
        <v>0</v>
      </c>
      <c r="AI106" s="48">
        <f t="shared" si="10"/>
        <v>0</v>
      </c>
      <c r="AJ106" s="53">
        <f t="shared" si="10"/>
        <v>0</v>
      </c>
    </row>
    <row r="107" spans="1:52" x14ac:dyDescent="0.3">
      <c r="A107" s="9"/>
      <c r="B107" s="4" t="s">
        <v>11</v>
      </c>
      <c r="C107" s="3"/>
      <c r="D107" s="3"/>
      <c r="E107" s="3"/>
      <c r="F107" s="19" t="s">
        <v>93</v>
      </c>
      <c r="G107" s="14"/>
      <c r="H107" s="14"/>
      <c r="I107" s="14"/>
      <c r="J107" s="14"/>
      <c r="K107" s="14"/>
      <c r="L107" s="14"/>
      <c r="M107" s="14"/>
      <c r="N107" s="14"/>
      <c r="O107" s="16"/>
      <c r="P107" s="14"/>
      <c r="Q107" s="64">
        <f>SUM(A108:A115)</f>
        <v>6</v>
      </c>
      <c r="R107" s="151">
        <f>SUM(A108:A114)/6</f>
        <v>1</v>
      </c>
      <c r="S107" s="152"/>
      <c r="U107" s="27"/>
      <c r="V107" s="59"/>
      <c r="W107" s="70"/>
      <c r="X107" s="28"/>
      <c r="Y107" s="8"/>
      <c r="Z107" s="28"/>
      <c r="AA107" s="8"/>
      <c r="AB107" s="40"/>
      <c r="AC107" s="37"/>
      <c r="AD107" s="27"/>
      <c r="AE107" s="28"/>
      <c r="AF107" s="8"/>
      <c r="AG107" s="43"/>
      <c r="AH107" s="8"/>
      <c r="AI107" s="28"/>
      <c r="AJ107" s="29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</row>
    <row r="108" spans="1:52" s="86" customFormat="1" x14ac:dyDescent="0.3">
      <c r="A108" s="84">
        <v>1</v>
      </c>
      <c r="B108" s="85" t="s">
        <v>94</v>
      </c>
      <c r="F108" s="86">
        <f>F100+1</f>
        <v>55</v>
      </c>
      <c r="G108" s="86" t="s">
        <v>95</v>
      </c>
      <c r="P108" s="95"/>
      <c r="Q108" s="87"/>
      <c r="R108" s="88"/>
      <c r="S108" s="88"/>
      <c r="U108" s="96"/>
      <c r="V108" s="90"/>
      <c r="W108" s="90"/>
      <c r="X108" s="125" t="s">
        <v>5</v>
      </c>
      <c r="Y108" s="84"/>
      <c r="Z108" s="84"/>
      <c r="AA108" s="84"/>
      <c r="AB108" s="91"/>
      <c r="AC108" s="92"/>
      <c r="AD108" s="89"/>
      <c r="AE108" s="84"/>
      <c r="AF108" s="84"/>
      <c r="AG108" s="84"/>
      <c r="AH108" s="84"/>
      <c r="AI108" s="84"/>
      <c r="AJ108" s="92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</row>
    <row r="109" spans="1:52" x14ac:dyDescent="0.3">
      <c r="A109" s="8">
        <v>1</v>
      </c>
      <c r="B109" s="5" t="s">
        <v>94</v>
      </c>
      <c r="F109" s="1">
        <f t="shared" ref="F109:F114" si="11">F108+1</f>
        <v>56</v>
      </c>
      <c r="G109" s="1" t="s">
        <v>157</v>
      </c>
      <c r="U109" s="27"/>
      <c r="V109" s="59"/>
      <c r="W109" s="70"/>
      <c r="X109" s="28"/>
      <c r="Y109" s="8"/>
      <c r="Z109" s="28"/>
      <c r="AA109" s="8"/>
      <c r="AB109" s="40"/>
      <c r="AC109" s="37"/>
      <c r="AD109" s="27"/>
      <c r="AE109" s="28"/>
      <c r="AF109" s="8"/>
      <c r="AG109" s="43"/>
      <c r="AH109" s="8"/>
      <c r="AI109" s="28"/>
      <c r="AJ109" s="29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</row>
    <row r="110" spans="1:52" s="74" customFormat="1" x14ac:dyDescent="0.3">
      <c r="A110" s="72">
        <v>1</v>
      </c>
      <c r="B110" s="73" t="s">
        <v>94</v>
      </c>
      <c r="F110" s="74">
        <f t="shared" si="11"/>
        <v>57</v>
      </c>
      <c r="G110" s="74" t="s">
        <v>96</v>
      </c>
      <c r="Q110" s="75"/>
      <c r="R110" s="76"/>
      <c r="S110" s="76"/>
      <c r="U110" s="77"/>
      <c r="V110" s="78"/>
      <c r="W110" s="78"/>
      <c r="X110" s="72"/>
      <c r="Y110" s="72"/>
      <c r="Z110" s="72"/>
      <c r="AA110" s="72"/>
      <c r="AB110" s="79"/>
      <c r="AC110" s="80"/>
      <c r="AD110" s="77"/>
      <c r="AE110" s="72"/>
      <c r="AF110" s="72"/>
      <c r="AG110" s="72"/>
      <c r="AH110" s="72"/>
      <c r="AI110" s="72"/>
      <c r="AJ110" s="80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</row>
    <row r="111" spans="1:52" x14ac:dyDescent="0.3">
      <c r="A111" s="8">
        <v>1</v>
      </c>
      <c r="B111" s="5" t="s">
        <v>97</v>
      </c>
      <c r="F111" s="1">
        <f t="shared" si="11"/>
        <v>58</v>
      </c>
      <c r="G111" s="1" t="s">
        <v>98</v>
      </c>
      <c r="U111" s="27"/>
      <c r="V111" s="59"/>
      <c r="W111" s="70"/>
      <c r="X111" s="28"/>
      <c r="Y111" s="8"/>
      <c r="Z111" s="28"/>
      <c r="AA111" s="8"/>
      <c r="AB111" s="40"/>
      <c r="AC111" s="37"/>
      <c r="AD111" s="27"/>
      <c r="AE111" s="28"/>
      <c r="AF111" s="8"/>
      <c r="AG111" s="43"/>
      <c r="AH111" s="8"/>
      <c r="AI111" s="28"/>
      <c r="AJ111" s="29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</row>
    <row r="112" spans="1:52" s="86" customFormat="1" x14ac:dyDescent="0.3">
      <c r="A112" s="84">
        <v>1</v>
      </c>
      <c r="B112" s="85" t="s">
        <v>97</v>
      </c>
      <c r="F112" s="86">
        <f t="shared" si="11"/>
        <v>59</v>
      </c>
      <c r="G112" s="86" t="s">
        <v>99</v>
      </c>
      <c r="Q112" s="87"/>
      <c r="R112" s="88"/>
      <c r="S112" s="88"/>
      <c r="U112" s="89"/>
      <c r="V112" s="90"/>
      <c r="W112" s="90"/>
      <c r="X112" s="84"/>
      <c r="Y112" s="84"/>
      <c r="Z112" s="84"/>
      <c r="AA112" s="84"/>
      <c r="AB112" s="91"/>
      <c r="AC112" s="92"/>
      <c r="AD112" s="89"/>
      <c r="AE112" s="84"/>
      <c r="AF112" s="84"/>
      <c r="AG112" s="84"/>
      <c r="AH112" s="84"/>
      <c r="AI112" s="84"/>
      <c r="AJ112" s="92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</row>
    <row r="113" spans="1:52" x14ac:dyDescent="0.3">
      <c r="A113" s="8">
        <v>1</v>
      </c>
      <c r="B113" s="5" t="s">
        <v>100</v>
      </c>
      <c r="F113" s="1">
        <f t="shared" si="11"/>
        <v>60</v>
      </c>
      <c r="G113" s="1" t="s">
        <v>101</v>
      </c>
      <c r="U113" s="27"/>
      <c r="V113" s="59"/>
      <c r="W113" s="70"/>
      <c r="X113" s="28"/>
      <c r="Y113" s="8"/>
      <c r="Z113" s="28"/>
      <c r="AA113" s="8"/>
      <c r="AB113" s="40"/>
      <c r="AC113" s="37"/>
      <c r="AD113" s="27"/>
      <c r="AE113" s="28"/>
      <c r="AF113" s="8"/>
      <c r="AG113" s="43"/>
      <c r="AH113" s="8"/>
      <c r="AI113" s="28"/>
      <c r="AJ113" s="29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</row>
    <row r="114" spans="1:52" s="74" customFormat="1" x14ac:dyDescent="0.3">
      <c r="A114" s="72"/>
      <c r="B114" s="73"/>
      <c r="F114" s="74">
        <f t="shared" si="11"/>
        <v>61</v>
      </c>
      <c r="G114" s="74" t="s">
        <v>31</v>
      </c>
      <c r="Q114" s="75"/>
      <c r="R114" s="76"/>
      <c r="S114" s="76"/>
      <c r="U114" s="77"/>
      <c r="V114" s="78"/>
      <c r="W114" s="78"/>
      <c r="X114" s="72"/>
      <c r="Y114" s="72"/>
      <c r="Z114" s="72"/>
      <c r="AA114" s="72"/>
      <c r="AB114" s="79"/>
      <c r="AC114" s="80"/>
      <c r="AD114" s="77"/>
      <c r="AE114" s="72"/>
      <c r="AF114" s="72"/>
      <c r="AG114" s="72"/>
      <c r="AH114" s="72"/>
      <c r="AI114" s="72"/>
      <c r="AJ114" s="80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</row>
    <row r="115" spans="1:52" x14ac:dyDescent="0.3">
      <c r="U115" s="27"/>
      <c r="V115" s="59"/>
      <c r="W115" s="70"/>
      <c r="X115" s="28"/>
      <c r="Y115" s="8"/>
      <c r="Z115" s="28"/>
      <c r="AA115" s="8"/>
      <c r="AB115" s="40"/>
      <c r="AC115" s="37"/>
      <c r="AD115" s="27"/>
      <c r="AE115" s="28"/>
      <c r="AF115" s="8"/>
      <c r="AG115" s="43"/>
      <c r="AH115" s="8"/>
      <c r="AI115" s="28"/>
      <c r="AJ115" s="29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</row>
    <row r="116" spans="1:52" x14ac:dyDescent="0.3">
      <c r="A116" s="12" t="s">
        <v>32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U116" s="27"/>
      <c r="V116" s="59"/>
      <c r="W116" s="70"/>
      <c r="X116" s="28"/>
      <c r="Y116" s="8"/>
      <c r="Z116" s="28"/>
      <c r="AA116" s="8"/>
      <c r="AB116" s="40"/>
      <c r="AC116" s="37"/>
      <c r="AD116" s="27"/>
      <c r="AE116" s="28"/>
      <c r="AF116" s="8"/>
      <c r="AG116" s="43"/>
      <c r="AH116" s="8"/>
      <c r="AI116" s="28"/>
      <c r="AJ116" s="29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</row>
    <row r="117" spans="1:52" x14ac:dyDescent="0.3">
      <c r="A117" s="22" t="s">
        <v>181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U117" s="27"/>
      <c r="V117" s="59"/>
      <c r="W117" s="70"/>
      <c r="X117" s="28"/>
      <c r="Y117" s="8"/>
      <c r="Z117" s="28"/>
      <c r="AA117" s="8"/>
      <c r="AB117" s="40"/>
      <c r="AC117" s="37"/>
      <c r="AD117" s="27"/>
      <c r="AE117" s="28"/>
      <c r="AF117" s="8"/>
      <c r="AG117" s="43"/>
      <c r="AH117" s="8"/>
      <c r="AI117" s="28"/>
      <c r="AJ117" s="29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</row>
    <row r="118" spans="1:52" x14ac:dyDescent="0.3">
      <c r="A118" s="10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U118" s="27"/>
      <c r="V118" s="59"/>
      <c r="W118" s="70"/>
      <c r="X118" s="28"/>
      <c r="Y118" s="8"/>
      <c r="Z118" s="28"/>
      <c r="AA118" s="8"/>
      <c r="AB118" s="40"/>
      <c r="AC118" s="37"/>
      <c r="AD118" s="27"/>
      <c r="AE118" s="28"/>
      <c r="AF118" s="8"/>
      <c r="AG118" s="43"/>
      <c r="AH118" s="8"/>
      <c r="AI118" s="28"/>
      <c r="AJ118" s="29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</row>
    <row r="119" spans="1:52" x14ac:dyDescent="0.3">
      <c r="A119" s="1"/>
      <c r="U119" s="27"/>
      <c r="V119" s="59"/>
      <c r="W119" s="70"/>
      <c r="X119" s="28"/>
      <c r="Y119" s="8"/>
      <c r="Z119" s="28"/>
      <c r="AA119" s="8"/>
      <c r="AB119" s="40"/>
      <c r="AC119" s="37"/>
      <c r="AD119" s="27"/>
      <c r="AE119" s="28"/>
      <c r="AF119" s="8"/>
      <c r="AG119" s="43"/>
      <c r="AH119" s="8"/>
      <c r="AI119" s="28"/>
      <c r="AJ119" s="29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</row>
    <row r="120" spans="1:52" x14ac:dyDescent="0.3">
      <c r="A120" s="9"/>
      <c r="B120" s="4" t="s">
        <v>11</v>
      </c>
      <c r="C120" s="3"/>
      <c r="D120" s="3"/>
      <c r="E120" s="3"/>
      <c r="F120" s="15" t="s">
        <v>102</v>
      </c>
      <c r="G120" s="14"/>
      <c r="H120" s="16"/>
      <c r="I120" s="16"/>
      <c r="J120" s="16"/>
      <c r="K120" s="16"/>
      <c r="L120" s="16"/>
      <c r="M120" s="16"/>
      <c r="N120" s="16"/>
      <c r="O120" s="16"/>
      <c r="P120" s="14"/>
      <c r="Q120" s="64">
        <f>SUM(A121:A125)</f>
        <v>4</v>
      </c>
      <c r="R120" s="151">
        <f>SUM(A121:A124)/4</f>
        <v>1</v>
      </c>
      <c r="S120" s="152"/>
      <c r="U120" s="27"/>
      <c r="V120" s="59"/>
      <c r="W120" s="70"/>
      <c r="X120" s="28"/>
      <c r="Y120" s="8"/>
      <c r="Z120" s="28"/>
      <c r="AA120" s="8"/>
      <c r="AB120" s="40"/>
      <c r="AC120" s="37"/>
      <c r="AD120" s="27"/>
      <c r="AE120" s="28"/>
      <c r="AF120" s="8"/>
      <c r="AG120" s="43"/>
      <c r="AH120" s="8"/>
      <c r="AI120" s="28"/>
      <c r="AJ120" s="29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</row>
    <row r="121" spans="1:52" x14ac:dyDescent="0.3">
      <c r="A121" s="8">
        <v>1</v>
      </c>
      <c r="B121" s="5" t="s">
        <v>103</v>
      </c>
      <c r="F121" s="1">
        <f>F114+1</f>
        <v>62</v>
      </c>
      <c r="G121" s="1" t="s">
        <v>95</v>
      </c>
      <c r="U121" s="27"/>
      <c r="V121" s="59"/>
      <c r="W121" s="70"/>
      <c r="X121" s="28"/>
      <c r="Y121" s="8"/>
      <c r="Z121" s="28"/>
      <c r="AA121" s="8"/>
      <c r="AB121" s="40"/>
      <c r="AC121" s="37"/>
      <c r="AD121" s="27"/>
      <c r="AE121" s="28"/>
      <c r="AF121" s="8"/>
      <c r="AG121" s="43"/>
      <c r="AH121" s="8"/>
      <c r="AI121" s="28"/>
      <c r="AJ121" s="29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</row>
    <row r="122" spans="1:52" s="86" customFormat="1" x14ac:dyDescent="0.3">
      <c r="A122" s="84">
        <v>1</v>
      </c>
      <c r="B122" s="85" t="s">
        <v>103</v>
      </c>
      <c r="F122" s="86">
        <f>F121+1</f>
        <v>63</v>
      </c>
      <c r="G122" s="86" t="s">
        <v>157</v>
      </c>
      <c r="Q122" s="87"/>
      <c r="R122" s="88"/>
      <c r="S122" s="88"/>
      <c r="U122" s="89"/>
      <c r="V122" s="90"/>
      <c r="W122" s="90"/>
      <c r="X122" s="84"/>
      <c r="Y122" s="84"/>
      <c r="Z122" s="84"/>
      <c r="AA122" s="84"/>
      <c r="AB122" s="91"/>
      <c r="AC122" s="92"/>
      <c r="AD122" s="89"/>
      <c r="AE122" s="84"/>
      <c r="AF122" s="84"/>
      <c r="AG122" s="84"/>
      <c r="AH122" s="84"/>
      <c r="AI122" s="84"/>
      <c r="AJ122" s="92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</row>
    <row r="123" spans="1:52" x14ac:dyDescent="0.3">
      <c r="A123" s="8">
        <v>1</v>
      </c>
      <c r="B123" s="5" t="s">
        <v>104</v>
      </c>
      <c r="F123" s="1">
        <f>F122+1</f>
        <v>64</v>
      </c>
      <c r="G123" s="1" t="s">
        <v>96</v>
      </c>
      <c r="U123" s="27"/>
      <c r="V123" s="59"/>
      <c r="W123" s="70"/>
      <c r="X123" s="28"/>
      <c r="Y123" s="8"/>
      <c r="Z123" s="28"/>
      <c r="AA123" s="8"/>
      <c r="AB123" s="40"/>
      <c r="AC123" s="37"/>
      <c r="AD123" s="27"/>
      <c r="AE123" s="28"/>
      <c r="AF123" s="8"/>
      <c r="AG123" s="43"/>
      <c r="AH123" s="8"/>
      <c r="AI123" s="28"/>
      <c r="AJ123" s="29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</row>
    <row r="124" spans="1:52" s="74" customFormat="1" x14ac:dyDescent="0.3">
      <c r="A124" s="72">
        <v>1</v>
      </c>
      <c r="B124" s="73"/>
      <c r="F124" s="74">
        <f>F123+1</f>
        <v>65</v>
      </c>
      <c r="G124" s="74" t="s">
        <v>31</v>
      </c>
      <c r="Q124" s="75"/>
      <c r="R124" s="76"/>
      <c r="S124" s="76"/>
      <c r="U124" s="77"/>
      <c r="V124" s="78"/>
      <c r="W124" s="78"/>
      <c r="X124" s="72"/>
      <c r="Y124" s="72"/>
      <c r="Z124" s="72"/>
      <c r="AA124" s="72"/>
      <c r="AB124" s="79"/>
      <c r="AC124" s="80"/>
      <c r="AD124" s="77"/>
      <c r="AE124" s="72"/>
      <c r="AF124" s="72"/>
      <c r="AG124" s="72"/>
      <c r="AH124" s="72"/>
      <c r="AI124" s="72"/>
      <c r="AJ124" s="80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</row>
    <row r="125" spans="1:52" x14ac:dyDescent="0.3">
      <c r="U125" s="27"/>
      <c r="V125" s="59"/>
      <c r="W125" s="70"/>
      <c r="X125" s="28"/>
      <c r="Y125" s="8"/>
      <c r="Z125" s="28"/>
      <c r="AA125" s="8"/>
      <c r="AB125" s="40"/>
      <c r="AC125" s="37"/>
      <c r="AD125" s="27"/>
      <c r="AE125" s="28"/>
      <c r="AF125" s="8"/>
      <c r="AG125" s="43"/>
      <c r="AH125" s="8"/>
      <c r="AI125" s="28"/>
      <c r="AJ125" s="29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</row>
    <row r="126" spans="1:52" x14ac:dyDescent="0.3">
      <c r="A126" s="12" t="s">
        <v>187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U126" s="27"/>
      <c r="V126" s="59"/>
      <c r="W126" s="70"/>
      <c r="X126" s="28"/>
      <c r="Y126" s="8"/>
      <c r="Z126" s="28"/>
      <c r="AA126" s="8"/>
      <c r="AB126" s="40"/>
      <c r="AC126" s="37"/>
      <c r="AD126" s="27"/>
      <c r="AE126" s="28"/>
      <c r="AF126" s="8"/>
      <c r="AG126" s="43"/>
      <c r="AH126" s="8"/>
      <c r="AI126" s="28"/>
      <c r="AJ126" s="29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</row>
    <row r="127" spans="1:52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106"/>
      <c r="P127" s="106"/>
      <c r="U127" s="27"/>
      <c r="V127" s="59"/>
      <c r="W127" s="70"/>
      <c r="X127" s="28"/>
      <c r="Y127" s="8"/>
      <c r="Z127" s="28"/>
      <c r="AA127" s="8"/>
      <c r="AB127" s="40"/>
      <c r="AC127" s="37"/>
      <c r="AD127" s="27"/>
      <c r="AE127" s="28"/>
      <c r="AF127" s="8"/>
      <c r="AG127" s="43"/>
      <c r="AH127" s="8"/>
      <c r="AI127" s="28"/>
      <c r="AJ127" s="29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</row>
    <row r="128" spans="1:52" x14ac:dyDescent="0.3">
      <c r="A128" s="22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U128" s="27"/>
      <c r="V128" s="59"/>
      <c r="W128" s="70"/>
      <c r="X128" s="28"/>
      <c r="Y128" s="8"/>
      <c r="Z128" s="28"/>
      <c r="AA128" s="8"/>
      <c r="AB128" s="40"/>
      <c r="AC128" s="37"/>
      <c r="AD128" s="27"/>
      <c r="AE128" s="28"/>
      <c r="AF128" s="8"/>
      <c r="AG128" s="43"/>
      <c r="AH128" s="8"/>
      <c r="AI128" s="28"/>
      <c r="AJ128" s="29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</row>
    <row r="129" spans="1:52" x14ac:dyDescent="0.3">
      <c r="A129" s="1"/>
      <c r="U129" s="27"/>
      <c r="V129" s="59"/>
      <c r="W129" s="70"/>
      <c r="X129" s="28"/>
      <c r="Y129" s="8"/>
      <c r="Z129" s="28"/>
      <c r="AA129" s="8"/>
      <c r="AB129" s="40"/>
      <c r="AC129" s="37"/>
      <c r="AD129" s="27"/>
      <c r="AE129" s="28"/>
      <c r="AF129" s="8"/>
      <c r="AG129" s="43"/>
      <c r="AH129" s="8"/>
      <c r="AI129" s="28"/>
      <c r="AJ129" s="29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</row>
    <row r="130" spans="1:52" ht="14.5" x14ac:dyDescent="0.35">
      <c r="A130" s="9"/>
      <c r="B130" s="4" t="s">
        <v>11</v>
      </c>
      <c r="C130" s="3"/>
      <c r="D130" s="3"/>
      <c r="E130" s="3"/>
      <c r="F130" s="149" t="s">
        <v>105</v>
      </c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64">
        <f>SUM(A131:A135)</f>
        <v>4</v>
      </c>
      <c r="R130" s="151">
        <f>SUM(A131:A135)/4</f>
        <v>1</v>
      </c>
      <c r="S130" s="152"/>
      <c r="U130" s="27"/>
      <c r="V130" s="59"/>
      <c r="W130" s="70"/>
      <c r="X130" s="28"/>
      <c r="Y130" s="8"/>
      <c r="Z130" s="28"/>
      <c r="AA130" s="8"/>
      <c r="AB130" s="40"/>
      <c r="AC130" s="37"/>
      <c r="AD130" s="27"/>
      <c r="AE130" s="28"/>
      <c r="AF130" s="8"/>
      <c r="AG130" s="43"/>
      <c r="AH130" s="8"/>
      <c r="AI130" s="28"/>
      <c r="AJ130" s="29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</row>
    <row r="131" spans="1:52" x14ac:dyDescent="0.3">
      <c r="A131" s="8">
        <v>1</v>
      </c>
      <c r="B131" s="5" t="s">
        <v>106</v>
      </c>
      <c r="D131" s="1" t="s">
        <v>48</v>
      </c>
      <c r="F131" s="1">
        <f>F113+1</f>
        <v>61</v>
      </c>
      <c r="G131" s="1" t="s">
        <v>107</v>
      </c>
      <c r="U131" s="27"/>
      <c r="V131" s="59"/>
      <c r="W131" s="70"/>
      <c r="X131" s="28"/>
      <c r="Y131" s="8"/>
      <c r="Z131" s="28"/>
      <c r="AA131" s="8"/>
      <c r="AB131" s="40"/>
      <c r="AC131" s="37"/>
      <c r="AD131" s="27"/>
      <c r="AE131" s="28"/>
      <c r="AF131" s="8"/>
      <c r="AG131" s="43"/>
      <c r="AH131" s="8"/>
      <c r="AI131" s="28"/>
      <c r="AJ131" s="29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</row>
    <row r="132" spans="1:52" s="86" customFormat="1" x14ac:dyDescent="0.3">
      <c r="A132" s="84">
        <v>1</v>
      </c>
      <c r="B132" s="85" t="s">
        <v>106</v>
      </c>
      <c r="D132" s="86" t="s">
        <v>50</v>
      </c>
      <c r="F132" s="86">
        <f>F131+1</f>
        <v>62</v>
      </c>
      <c r="G132" s="86" t="s">
        <v>108</v>
      </c>
      <c r="Q132" s="87"/>
      <c r="R132" s="88"/>
      <c r="S132" s="88"/>
      <c r="U132" s="89"/>
      <c r="V132" s="90"/>
      <c r="W132" s="90"/>
      <c r="X132" s="84"/>
      <c r="Y132" s="84"/>
      <c r="Z132" s="84"/>
      <c r="AA132" s="84"/>
      <c r="AB132" s="91"/>
      <c r="AC132" s="92"/>
      <c r="AD132" s="89"/>
      <c r="AE132" s="84"/>
      <c r="AF132" s="84"/>
      <c r="AG132" s="84"/>
      <c r="AH132" s="84"/>
      <c r="AI132" s="84"/>
      <c r="AJ132" s="92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</row>
    <row r="133" spans="1:52" x14ac:dyDescent="0.3">
      <c r="A133" s="17">
        <v>1</v>
      </c>
      <c r="B133" s="5" t="s">
        <v>106</v>
      </c>
      <c r="D133" s="1" t="s">
        <v>109</v>
      </c>
      <c r="F133" s="1">
        <f>F132+1</f>
        <v>63</v>
      </c>
      <c r="G133" s="1" t="s">
        <v>110</v>
      </c>
      <c r="U133" s="27"/>
      <c r="V133" s="59"/>
      <c r="W133" s="70"/>
      <c r="X133" s="28"/>
      <c r="Y133" s="8"/>
      <c r="Z133" s="28"/>
      <c r="AA133" s="8"/>
      <c r="AB133" s="40"/>
      <c r="AC133" s="37"/>
      <c r="AD133" s="27"/>
      <c r="AE133" s="28"/>
      <c r="AF133" s="8"/>
      <c r="AG133" s="43"/>
      <c r="AH133" s="8"/>
      <c r="AI133" s="28"/>
      <c r="AJ133" s="29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</row>
    <row r="134" spans="1:52" s="74" customFormat="1" x14ac:dyDescent="0.3">
      <c r="A134" s="83">
        <v>1</v>
      </c>
      <c r="B134" s="73" t="s">
        <v>111</v>
      </c>
      <c r="D134" s="74" t="s">
        <v>50</v>
      </c>
      <c r="F134" s="74">
        <f>F133+1</f>
        <v>64</v>
      </c>
      <c r="G134" s="74" t="s">
        <v>112</v>
      </c>
      <c r="Q134" s="75"/>
      <c r="R134" s="76"/>
      <c r="S134" s="76"/>
      <c r="U134" s="77"/>
      <c r="V134" s="78"/>
      <c r="W134" s="78"/>
      <c r="X134" s="72"/>
      <c r="Y134" s="72"/>
      <c r="Z134" s="72"/>
      <c r="AA134" s="72"/>
      <c r="AB134" s="79"/>
      <c r="AC134" s="80"/>
      <c r="AD134" s="77"/>
      <c r="AE134" s="72"/>
      <c r="AF134" s="72"/>
      <c r="AG134" s="72"/>
      <c r="AH134" s="72"/>
      <c r="AI134" s="72"/>
      <c r="AJ134" s="80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</row>
    <row r="135" spans="1:52" x14ac:dyDescent="0.3">
      <c r="A135" s="8"/>
      <c r="B135" s="5"/>
      <c r="D135" s="6"/>
      <c r="F135" s="1">
        <f>F134+1</f>
        <v>65</v>
      </c>
      <c r="G135" s="1" t="s">
        <v>31</v>
      </c>
      <c r="U135" s="27"/>
      <c r="V135" s="59"/>
      <c r="W135" s="70"/>
      <c r="X135" s="28"/>
      <c r="Y135" s="8"/>
      <c r="Z135" s="28"/>
      <c r="AA135" s="8"/>
      <c r="AB135" s="40"/>
      <c r="AC135" s="37"/>
      <c r="AD135" s="27"/>
      <c r="AE135" s="28"/>
      <c r="AF135" s="8"/>
      <c r="AG135" s="43"/>
      <c r="AH135" s="8"/>
      <c r="AI135" s="28"/>
      <c r="AJ135" s="29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</row>
    <row r="136" spans="1:52" x14ac:dyDescent="0.3">
      <c r="U136" s="27"/>
      <c r="V136" s="59"/>
      <c r="W136" s="70"/>
      <c r="X136" s="28"/>
      <c r="Y136" s="8"/>
      <c r="Z136" s="28"/>
      <c r="AA136" s="8"/>
      <c r="AB136" s="40"/>
      <c r="AC136" s="37"/>
      <c r="AD136" s="27"/>
      <c r="AE136" s="28"/>
      <c r="AF136" s="8"/>
      <c r="AG136" s="43"/>
      <c r="AH136" s="8"/>
      <c r="AI136" s="28"/>
      <c r="AJ136" s="29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</row>
    <row r="137" spans="1:52" x14ac:dyDescent="0.3">
      <c r="A137" s="12" t="s">
        <v>32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U137" s="27"/>
      <c r="V137" s="59"/>
      <c r="W137" s="70"/>
      <c r="X137" s="28"/>
      <c r="Y137" s="8"/>
      <c r="Z137" s="28"/>
      <c r="AA137" s="8"/>
      <c r="AB137" s="40"/>
      <c r="AC137" s="37"/>
      <c r="AD137" s="27"/>
      <c r="AE137" s="28"/>
      <c r="AF137" s="8"/>
      <c r="AG137" s="43"/>
      <c r="AH137" s="8"/>
      <c r="AI137" s="28"/>
      <c r="AJ137" s="29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</row>
    <row r="138" spans="1:52" x14ac:dyDescent="0.3">
      <c r="A138" s="10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U138" s="27"/>
      <c r="V138" s="59"/>
      <c r="W138" s="70"/>
      <c r="X138" s="28"/>
      <c r="Y138" s="8"/>
      <c r="Z138" s="28"/>
      <c r="AA138" s="8"/>
      <c r="AB138" s="40"/>
      <c r="AC138" s="37"/>
      <c r="AD138" s="27"/>
      <c r="AE138" s="28"/>
      <c r="AF138" s="8"/>
      <c r="AG138" s="43"/>
      <c r="AH138" s="8"/>
      <c r="AI138" s="28"/>
      <c r="AJ138" s="29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</row>
    <row r="139" spans="1:52" ht="12.5" thickBot="1" x14ac:dyDescent="0.35">
      <c r="A139" s="10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U139" s="27"/>
      <c r="V139" s="59"/>
      <c r="W139" s="70"/>
      <c r="X139" s="28"/>
      <c r="Y139" s="8"/>
      <c r="Z139" s="28"/>
      <c r="AA139" s="8"/>
      <c r="AB139" s="40"/>
      <c r="AC139" s="37"/>
      <c r="AD139" s="27"/>
      <c r="AE139" s="28"/>
      <c r="AF139" s="8"/>
      <c r="AG139" s="43"/>
      <c r="AH139" s="8"/>
      <c r="AI139" s="28"/>
      <c r="AJ139" s="29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</row>
    <row r="140" spans="1:52" s="3" customFormat="1" ht="14.5" x14ac:dyDescent="0.3">
      <c r="A140" s="183" t="s">
        <v>3</v>
      </c>
      <c r="B140" s="183"/>
      <c r="D140" s="13">
        <v>1</v>
      </c>
      <c r="E140" s="16" t="s">
        <v>4</v>
      </c>
      <c r="F140" s="16"/>
      <c r="G140" s="16"/>
      <c r="H140" s="16"/>
      <c r="K140" s="13">
        <v>0</v>
      </c>
      <c r="L140" s="16" t="s">
        <v>151</v>
      </c>
      <c r="M140" s="16"/>
      <c r="N140" s="16"/>
      <c r="O140" s="16"/>
      <c r="P140" s="16"/>
      <c r="Q140" s="65"/>
      <c r="R140" s="35"/>
      <c r="S140" s="35"/>
      <c r="U140" s="153"/>
      <c r="V140" s="154"/>
      <c r="W140" s="154"/>
      <c r="X140" s="154"/>
      <c r="Y140" s="154"/>
      <c r="Z140" s="154"/>
      <c r="AA140" s="154"/>
      <c r="AB140" s="154"/>
      <c r="AC140" s="155"/>
      <c r="AD140" s="156"/>
      <c r="AE140" s="157"/>
      <c r="AF140" s="157"/>
      <c r="AG140" s="157"/>
      <c r="AH140" s="157"/>
      <c r="AI140" s="157"/>
      <c r="AJ140" s="158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</row>
    <row r="141" spans="1:52" s="45" customFormat="1" ht="70.5" customHeight="1" x14ac:dyDescent="0.35">
      <c r="D141" s="54" t="s">
        <v>5</v>
      </c>
      <c r="E141" s="173" t="s">
        <v>6</v>
      </c>
      <c r="F141" s="174"/>
      <c r="G141" s="55"/>
      <c r="H141" s="56" t="s">
        <v>7</v>
      </c>
      <c r="I141" s="171" t="s">
        <v>8</v>
      </c>
      <c r="J141" s="172"/>
      <c r="L141" s="68" t="s">
        <v>9</v>
      </c>
      <c r="M141" s="178" t="s">
        <v>10</v>
      </c>
      <c r="N141" s="179"/>
      <c r="Q141" s="66"/>
      <c r="R141" s="46"/>
      <c r="S141" s="46"/>
      <c r="U141" s="47" t="str">
        <f>U5</f>
        <v>Mechanical Train</v>
      </c>
      <c r="V141" s="57" t="str">
        <f t="shared" ref="V141:AJ141" si="12">V5</f>
        <v>Electrical Train</v>
      </c>
      <c r="W141" s="61" t="str">
        <f t="shared" si="12"/>
        <v>Plumbing Tharp</v>
      </c>
      <c r="X141" s="48" t="str">
        <f t="shared" si="12"/>
        <v>B</v>
      </c>
      <c r="Y141" s="49" t="str">
        <f t="shared" si="12"/>
        <v>C</v>
      </c>
      <c r="Z141" s="48">
        <f t="shared" si="12"/>
        <v>0</v>
      </c>
      <c r="AA141" s="49">
        <f t="shared" si="12"/>
        <v>0</v>
      </c>
      <c r="AB141" s="50">
        <f t="shared" si="12"/>
        <v>0</v>
      </c>
      <c r="AC141" s="51" t="str">
        <f t="shared" si="12"/>
        <v>Loading Dock</v>
      </c>
      <c r="AD141" s="47">
        <f t="shared" si="12"/>
        <v>0</v>
      </c>
      <c r="AE141" s="48" t="str">
        <f t="shared" si="12"/>
        <v>Mechanical Train</v>
      </c>
      <c r="AF141" s="49" t="str">
        <f t="shared" si="12"/>
        <v>Electrical Train</v>
      </c>
      <c r="AG141" s="52" t="str">
        <f t="shared" si="12"/>
        <v>Plumbing Tharp</v>
      </c>
      <c r="AH141" s="53">
        <f t="shared" si="12"/>
        <v>0</v>
      </c>
      <c r="AI141" s="48">
        <f t="shared" si="12"/>
        <v>0</v>
      </c>
      <c r="AJ141" s="53">
        <f t="shared" si="12"/>
        <v>0</v>
      </c>
    </row>
    <row r="142" spans="1:52" ht="14.5" x14ac:dyDescent="0.35">
      <c r="A142" s="9"/>
      <c r="B142" s="4" t="s">
        <v>11</v>
      </c>
      <c r="C142" s="3"/>
      <c r="D142" s="3"/>
      <c r="E142" s="3"/>
      <c r="F142" s="149" t="s">
        <v>113</v>
      </c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64">
        <f>SUM(A143:A147)</f>
        <v>4</v>
      </c>
      <c r="R142" s="151">
        <f>SUM(A143:A147)/4</f>
        <v>1</v>
      </c>
      <c r="S142" s="152"/>
      <c r="U142" s="27"/>
      <c r="V142" s="59"/>
      <c r="W142" s="70"/>
      <c r="X142" s="28"/>
      <c r="Y142" s="8"/>
      <c r="Z142" s="28"/>
      <c r="AA142" s="8"/>
      <c r="AB142" s="40"/>
      <c r="AC142" s="37"/>
      <c r="AD142" s="27"/>
      <c r="AE142" s="28"/>
      <c r="AF142" s="8"/>
      <c r="AG142" s="43"/>
      <c r="AH142" s="8"/>
      <c r="AI142" s="28"/>
      <c r="AJ142" s="29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</row>
    <row r="143" spans="1:52" x14ac:dyDescent="0.3">
      <c r="A143" s="8">
        <v>1</v>
      </c>
      <c r="B143" s="5" t="s">
        <v>106</v>
      </c>
      <c r="D143" s="1" t="s">
        <v>48</v>
      </c>
      <c r="F143" s="1">
        <f>F124+1</f>
        <v>66</v>
      </c>
      <c r="G143" s="1" t="s">
        <v>114</v>
      </c>
      <c r="U143" s="27"/>
      <c r="V143" s="59"/>
      <c r="W143" s="70"/>
      <c r="X143" s="28"/>
      <c r="Y143" s="8"/>
      <c r="Z143" s="28"/>
      <c r="AA143" s="8"/>
      <c r="AB143" s="40"/>
      <c r="AC143" s="37"/>
      <c r="AD143" s="27"/>
      <c r="AE143" s="28"/>
      <c r="AF143" s="8"/>
      <c r="AG143" s="43"/>
      <c r="AH143" s="8"/>
      <c r="AI143" s="28"/>
      <c r="AJ143" s="29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</row>
    <row r="144" spans="1:52" s="86" customFormat="1" x14ac:dyDescent="0.3">
      <c r="A144" s="84">
        <v>1</v>
      </c>
      <c r="B144" s="85" t="s">
        <v>106</v>
      </c>
      <c r="D144" s="86" t="s">
        <v>50</v>
      </c>
      <c r="F144" s="86">
        <f>F143+1</f>
        <v>67</v>
      </c>
      <c r="G144" s="86" t="s">
        <v>115</v>
      </c>
      <c r="Q144" s="87"/>
      <c r="R144" s="88"/>
      <c r="S144" s="88"/>
      <c r="U144" s="89"/>
      <c r="V144" s="90"/>
      <c r="W144" s="90"/>
      <c r="X144" s="84"/>
      <c r="Y144" s="84"/>
      <c r="Z144" s="84"/>
      <c r="AA144" s="84"/>
      <c r="AB144" s="91"/>
      <c r="AC144" s="92"/>
      <c r="AD144" s="89"/>
      <c r="AE144" s="84"/>
      <c r="AF144" s="84"/>
      <c r="AG144" s="84"/>
      <c r="AH144" s="84"/>
      <c r="AI144" s="84"/>
      <c r="AJ144" s="92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</row>
    <row r="145" spans="1:52" x14ac:dyDescent="0.3">
      <c r="A145" s="17">
        <v>1</v>
      </c>
      <c r="B145" s="5" t="s">
        <v>106</v>
      </c>
      <c r="D145" s="1" t="s">
        <v>109</v>
      </c>
      <c r="F145" s="1">
        <f>F144+1</f>
        <v>68</v>
      </c>
      <c r="G145" s="1" t="s">
        <v>116</v>
      </c>
      <c r="U145" s="27"/>
      <c r="V145" s="59"/>
      <c r="W145" s="70"/>
      <c r="X145" s="28"/>
      <c r="Y145" s="8"/>
      <c r="Z145" s="28"/>
      <c r="AA145" s="8"/>
      <c r="AB145" s="40"/>
      <c r="AC145" s="37"/>
      <c r="AD145" s="27"/>
      <c r="AE145" s="28"/>
      <c r="AF145" s="8"/>
      <c r="AG145" s="43"/>
      <c r="AH145" s="8"/>
      <c r="AI145" s="28"/>
      <c r="AJ145" s="29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</row>
    <row r="146" spans="1:52" s="74" customFormat="1" x14ac:dyDescent="0.3">
      <c r="A146" s="83">
        <v>1</v>
      </c>
      <c r="B146" s="73" t="s">
        <v>111</v>
      </c>
      <c r="D146" s="74" t="s">
        <v>50</v>
      </c>
      <c r="F146" s="74">
        <f>F145+1</f>
        <v>69</v>
      </c>
      <c r="G146" s="74" t="s">
        <v>117</v>
      </c>
      <c r="Q146" s="75"/>
      <c r="R146" s="76"/>
      <c r="S146" s="76"/>
      <c r="U146" s="77"/>
      <c r="V146" s="78"/>
      <c r="W146" s="78"/>
      <c r="X146" s="72"/>
      <c r="Y146" s="114"/>
      <c r="Z146" s="114"/>
      <c r="AA146" s="114"/>
      <c r="AB146" s="114"/>
      <c r="AC146" s="80"/>
      <c r="AD146" s="77"/>
      <c r="AE146" s="114"/>
      <c r="AF146" s="114"/>
      <c r="AG146" s="114"/>
      <c r="AH146" s="72"/>
      <c r="AI146" s="72"/>
      <c r="AJ146" s="80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</row>
    <row r="147" spans="1:52" x14ac:dyDescent="0.3">
      <c r="A147" s="8"/>
      <c r="B147" s="5"/>
      <c r="D147" s="6"/>
      <c r="F147" s="1">
        <f>F146+1</f>
        <v>70</v>
      </c>
      <c r="G147" s="1" t="s">
        <v>31</v>
      </c>
      <c r="U147" s="27"/>
      <c r="V147" s="59"/>
      <c r="W147" s="70"/>
      <c r="X147" s="28"/>
      <c r="Y147" s="8"/>
      <c r="Z147" s="28"/>
      <c r="AA147" s="8"/>
      <c r="AB147" s="40"/>
      <c r="AC147" s="37"/>
      <c r="AD147" s="27"/>
      <c r="AE147" s="28"/>
      <c r="AF147" s="8"/>
      <c r="AG147" s="43"/>
      <c r="AH147" s="8"/>
      <c r="AI147" s="28"/>
      <c r="AJ147" s="29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</row>
    <row r="148" spans="1:52" x14ac:dyDescent="0.3">
      <c r="U148" s="27"/>
      <c r="V148" s="59"/>
      <c r="W148" s="70"/>
      <c r="X148" s="28"/>
      <c r="Y148" s="8"/>
      <c r="Z148" s="28"/>
      <c r="AA148" s="8"/>
      <c r="AB148" s="40"/>
      <c r="AC148" s="37"/>
      <c r="AD148" s="27"/>
      <c r="AE148" s="28"/>
      <c r="AF148" s="8"/>
      <c r="AG148" s="43"/>
      <c r="AH148" s="8"/>
      <c r="AI148" s="28"/>
      <c r="AJ148" s="29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</row>
    <row r="149" spans="1:52" x14ac:dyDescent="0.3">
      <c r="A149" s="12" t="s">
        <v>160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U149" s="27"/>
      <c r="V149" s="59"/>
      <c r="W149" s="70"/>
      <c r="X149" s="28"/>
      <c r="Y149" s="8"/>
      <c r="Z149" s="28"/>
      <c r="AA149" s="8"/>
      <c r="AB149" s="40"/>
      <c r="AC149" s="37"/>
      <c r="AD149" s="27"/>
      <c r="AE149" s="28"/>
      <c r="AF149" s="8"/>
      <c r="AG149" s="43"/>
      <c r="AH149" s="8"/>
      <c r="AI149" s="28"/>
      <c r="AJ149" s="29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</row>
    <row r="150" spans="1:52" ht="14.5" x14ac:dyDescent="0.3">
      <c r="A150" s="185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U150" s="27"/>
      <c r="V150" s="59"/>
      <c r="W150" s="70"/>
      <c r="X150" s="28"/>
      <c r="Y150" s="8"/>
      <c r="Z150" s="28"/>
      <c r="AA150" s="8"/>
      <c r="AB150" s="40"/>
      <c r="AC150" s="37"/>
      <c r="AD150" s="27"/>
      <c r="AE150" s="28"/>
      <c r="AF150" s="8"/>
      <c r="AG150" s="43"/>
      <c r="AH150" s="8"/>
      <c r="AI150" s="28"/>
      <c r="AJ150" s="29"/>
      <c r="AK150" s="45"/>
      <c r="AL150" s="45"/>
      <c r="AM150" s="45"/>
      <c r="AN150" s="45"/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</row>
    <row r="151" spans="1:52" ht="21" customHeight="1" x14ac:dyDescent="0.3">
      <c r="A151" s="185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U151" s="27"/>
      <c r="V151" s="59"/>
      <c r="W151" s="70"/>
      <c r="X151" s="28"/>
      <c r="Y151" s="8"/>
      <c r="Z151" s="28"/>
      <c r="AA151" s="8"/>
      <c r="AB151" s="40"/>
      <c r="AC151" s="37"/>
      <c r="AD151" s="27"/>
      <c r="AE151" s="28"/>
      <c r="AF151" s="8"/>
      <c r="AG151" s="43"/>
      <c r="AH151" s="8"/>
      <c r="AI151" s="28"/>
      <c r="AJ151" s="29"/>
      <c r="AK151" s="45"/>
      <c r="AL151" s="45"/>
      <c r="AM151" s="45"/>
      <c r="AN151" s="45"/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</row>
    <row r="152" spans="1:52" x14ac:dyDescent="0.3">
      <c r="A152" s="1"/>
      <c r="U152" s="27"/>
      <c r="V152" s="59"/>
      <c r="W152" s="70"/>
      <c r="X152" s="28"/>
      <c r="Y152" s="8"/>
      <c r="Z152" s="28"/>
      <c r="AA152" s="8"/>
      <c r="AB152" s="40"/>
      <c r="AC152" s="37"/>
      <c r="AD152" s="27"/>
      <c r="AE152" s="28"/>
      <c r="AF152" s="8"/>
      <c r="AG152" s="43"/>
      <c r="AH152" s="8"/>
      <c r="AI152" s="28"/>
      <c r="AJ152" s="29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</row>
    <row r="153" spans="1:52" x14ac:dyDescent="0.3">
      <c r="A153" s="9"/>
      <c r="B153" s="4" t="s">
        <v>11</v>
      </c>
      <c r="C153" s="3"/>
      <c r="D153" s="3"/>
      <c r="E153" s="3"/>
      <c r="F153" s="149" t="s">
        <v>118</v>
      </c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64">
        <f>SUM(A154:A163)</f>
        <v>9</v>
      </c>
      <c r="R153" s="151">
        <f>SUM(A154:A163)/9</f>
        <v>1</v>
      </c>
      <c r="S153" s="152"/>
      <c r="U153" s="27"/>
      <c r="V153" s="59"/>
      <c r="W153" s="70"/>
      <c r="X153" s="28"/>
      <c r="Y153" s="8"/>
      <c r="Z153" s="28"/>
      <c r="AA153" s="8"/>
      <c r="AB153" s="40"/>
      <c r="AC153" s="37"/>
      <c r="AD153" s="27"/>
      <c r="AE153" s="28"/>
      <c r="AF153" s="8"/>
      <c r="AG153" s="43"/>
      <c r="AH153" s="8"/>
      <c r="AI153" s="28"/>
      <c r="AJ153" s="29"/>
      <c r="AK153" s="45"/>
      <c r="AL153" s="45"/>
      <c r="AM153" s="45"/>
      <c r="AN153" s="45"/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</row>
    <row r="154" spans="1:52" x14ac:dyDescent="0.3">
      <c r="A154" s="8">
        <v>1</v>
      </c>
      <c r="B154" s="5" t="s">
        <v>119</v>
      </c>
      <c r="D154" s="1" t="s">
        <v>50</v>
      </c>
      <c r="E154" s="6" t="s">
        <v>46</v>
      </c>
      <c r="F154" s="1">
        <f>F146+1</f>
        <v>70</v>
      </c>
      <c r="G154" s="1" t="s">
        <v>120</v>
      </c>
      <c r="U154" s="27"/>
      <c r="V154" s="59"/>
      <c r="W154" s="70"/>
      <c r="X154" s="28"/>
      <c r="Y154" s="8"/>
      <c r="Z154" s="28"/>
      <c r="AA154" s="8"/>
      <c r="AB154" s="40"/>
      <c r="AC154" s="37"/>
      <c r="AD154" s="27"/>
      <c r="AE154" s="28"/>
      <c r="AF154" s="8"/>
      <c r="AG154" s="43"/>
      <c r="AH154" s="8"/>
      <c r="AI154" s="28"/>
      <c r="AJ154" s="29"/>
      <c r="AK154" s="45"/>
      <c r="AL154" s="45"/>
      <c r="AM154" s="45"/>
      <c r="AN154" s="45"/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</row>
    <row r="155" spans="1:52" s="86" customFormat="1" x14ac:dyDescent="0.3">
      <c r="A155" s="84">
        <v>1</v>
      </c>
      <c r="B155" s="85" t="s">
        <v>119</v>
      </c>
      <c r="D155" s="86" t="s">
        <v>50</v>
      </c>
      <c r="E155" s="93" t="s">
        <v>121</v>
      </c>
      <c r="F155" s="86">
        <f t="shared" ref="F155:F163" si="13">F154+1</f>
        <v>71</v>
      </c>
      <c r="G155" s="86" t="s">
        <v>122</v>
      </c>
      <c r="Q155" s="87"/>
      <c r="R155" s="88"/>
      <c r="S155" s="88"/>
      <c r="U155" s="89"/>
      <c r="V155" s="90"/>
      <c r="W155" s="90"/>
      <c r="X155" s="84"/>
      <c r="Y155" s="84"/>
      <c r="Z155" s="84"/>
      <c r="AA155" s="84"/>
      <c r="AB155" s="91"/>
      <c r="AC155" s="92"/>
      <c r="AD155" s="89"/>
      <c r="AE155" s="84"/>
      <c r="AF155" s="84"/>
      <c r="AG155" s="84"/>
      <c r="AH155" s="84"/>
      <c r="AI155" s="84"/>
      <c r="AJ155" s="92"/>
      <c r="AK155" s="45"/>
      <c r="AL155" s="45"/>
      <c r="AM155" s="45"/>
      <c r="AN155" s="45"/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</row>
    <row r="156" spans="1:52" x14ac:dyDescent="0.3">
      <c r="A156" s="8">
        <v>1</v>
      </c>
      <c r="B156" s="5" t="s">
        <v>119</v>
      </c>
      <c r="D156" s="1" t="s">
        <v>59</v>
      </c>
      <c r="F156" s="1">
        <f t="shared" si="13"/>
        <v>72</v>
      </c>
      <c r="G156" s="1" t="s">
        <v>123</v>
      </c>
      <c r="U156" s="27"/>
      <c r="V156" s="59"/>
      <c r="W156" s="70"/>
      <c r="X156" s="28"/>
      <c r="Y156" s="8"/>
      <c r="Z156" s="28"/>
      <c r="AA156" s="8"/>
      <c r="AB156" s="40"/>
      <c r="AC156" s="37"/>
      <c r="AD156" s="27"/>
      <c r="AE156" s="28"/>
      <c r="AF156" s="8"/>
      <c r="AG156" s="43"/>
      <c r="AH156" s="8"/>
      <c r="AI156" s="28"/>
      <c r="AJ156" s="29"/>
      <c r="AK156" s="45"/>
      <c r="AL156" s="45"/>
      <c r="AM156" s="45"/>
      <c r="AN156" s="45"/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</row>
    <row r="157" spans="1:52" s="74" customFormat="1" x14ac:dyDescent="0.3">
      <c r="A157" s="72">
        <v>1</v>
      </c>
      <c r="B157" s="73" t="s">
        <v>124</v>
      </c>
      <c r="D157" s="74" t="s">
        <v>45</v>
      </c>
      <c r="F157" s="74">
        <f t="shared" si="13"/>
        <v>73</v>
      </c>
      <c r="G157" s="74" t="s">
        <v>125</v>
      </c>
      <c r="Q157" s="75"/>
      <c r="R157" s="76"/>
      <c r="S157" s="76"/>
      <c r="U157" s="77"/>
      <c r="V157" s="78"/>
      <c r="W157" s="78"/>
      <c r="X157" s="72"/>
      <c r="Y157" s="72"/>
      <c r="Z157" s="72"/>
      <c r="AA157" s="72"/>
      <c r="AB157" s="79"/>
      <c r="AC157" s="80"/>
      <c r="AD157" s="77"/>
      <c r="AE157" s="72"/>
      <c r="AF157" s="72"/>
      <c r="AG157" s="72"/>
      <c r="AH157" s="72"/>
      <c r="AI157" s="72"/>
      <c r="AJ157" s="80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</row>
    <row r="158" spans="1:52" x14ac:dyDescent="0.3">
      <c r="A158" s="8">
        <v>1</v>
      </c>
      <c r="B158" s="5" t="s">
        <v>124</v>
      </c>
      <c r="D158" s="1" t="s">
        <v>126</v>
      </c>
      <c r="F158" s="1">
        <f t="shared" si="13"/>
        <v>74</v>
      </c>
      <c r="G158" s="1" t="s">
        <v>127</v>
      </c>
      <c r="U158" s="27"/>
      <c r="V158" s="59"/>
      <c r="W158" s="70"/>
      <c r="X158" s="28"/>
      <c r="Y158" s="8"/>
      <c r="Z158" s="28"/>
      <c r="AA158" s="8"/>
      <c r="AB158" s="40"/>
      <c r="AC158" s="37"/>
      <c r="AD158" s="27"/>
      <c r="AE158" s="28"/>
      <c r="AF158" s="8"/>
      <c r="AG158" s="43"/>
      <c r="AH158" s="8"/>
      <c r="AI158" s="28"/>
      <c r="AJ158" s="29"/>
      <c r="AK158" s="45"/>
      <c r="AL158" s="45"/>
      <c r="AM158" s="45"/>
      <c r="AN158" s="45"/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</row>
    <row r="159" spans="1:52" s="86" customFormat="1" x14ac:dyDescent="0.3">
      <c r="A159" s="84">
        <v>1</v>
      </c>
      <c r="B159" s="85" t="s">
        <v>53</v>
      </c>
      <c r="D159" s="86" t="s">
        <v>70</v>
      </c>
      <c r="F159" s="86">
        <f t="shared" si="13"/>
        <v>75</v>
      </c>
      <c r="G159" s="86" t="s">
        <v>153</v>
      </c>
      <c r="Q159" s="87"/>
      <c r="R159" s="88"/>
      <c r="S159" s="88"/>
      <c r="U159" s="89"/>
      <c r="V159" s="90"/>
      <c r="W159" s="90"/>
      <c r="X159" s="84"/>
      <c r="Y159" s="84"/>
      <c r="Z159" s="84"/>
      <c r="AA159" s="84"/>
      <c r="AB159" s="91"/>
      <c r="AC159" s="92"/>
      <c r="AD159" s="89"/>
      <c r="AE159" s="84"/>
      <c r="AF159" s="84"/>
      <c r="AG159" s="84"/>
      <c r="AH159" s="84"/>
      <c r="AI159" s="84"/>
      <c r="AJ159" s="92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</row>
    <row r="160" spans="1:52" x14ac:dyDescent="0.3">
      <c r="A160" s="8">
        <v>1</v>
      </c>
      <c r="B160" s="5" t="s">
        <v>53</v>
      </c>
      <c r="D160" s="1" t="s">
        <v>126</v>
      </c>
      <c r="F160" s="1">
        <f t="shared" si="13"/>
        <v>76</v>
      </c>
      <c r="G160" s="1" t="s">
        <v>128</v>
      </c>
      <c r="U160" s="27"/>
      <c r="V160" s="59"/>
      <c r="W160" s="70"/>
      <c r="X160" s="28"/>
      <c r="Y160" s="8"/>
      <c r="Z160" s="28"/>
      <c r="AA160" s="8"/>
      <c r="AB160" s="40"/>
      <c r="AC160" s="37"/>
      <c r="AD160" s="27"/>
      <c r="AE160" s="28"/>
      <c r="AF160" s="8"/>
      <c r="AG160" s="43"/>
      <c r="AH160" s="8"/>
      <c r="AI160" s="28"/>
      <c r="AJ160" s="29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</row>
    <row r="161" spans="1:52" s="74" customFormat="1" x14ac:dyDescent="0.3">
      <c r="A161" s="72">
        <v>1</v>
      </c>
      <c r="B161" s="73" t="s">
        <v>129</v>
      </c>
      <c r="F161" s="74">
        <f t="shared" si="13"/>
        <v>77</v>
      </c>
      <c r="G161" s="74" t="s">
        <v>130</v>
      </c>
      <c r="Q161" s="75"/>
      <c r="R161" s="76"/>
      <c r="S161" s="76"/>
      <c r="U161" s="77"/>
      <c r="V161" s="78"/>
      <c r="W161" s="78"/>
      <c r="X161" s="72"/>
      <c r="Y161" s="72"/>
      <c r="Z161" s="72"/>
      <c r="AA161" s="72"/>
      <c r="AB161" s="79"/>
      <c r="AC161" s="80"/>
      <c r="AD161" s="77"/>
      <c r="AE161" s="72"/>
      <c r="AF161" s="72"/>
      <c r="AG161" s="72"/>
      <c r="AH161" s="72"/>
      <c r="AI161" s="72"/>
      <c r="AJ161" s="80"/>
      <c r="AK161" s="45"/>
      <c r="AL161" s="45"/>
      <c r="AM161" s="45"/>
      <c r="AN161" s="45"/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</row>
    <row r="162" spans="1:52" x14ac:dyDescent="0.3">
      <c r="A162" s="8">
        <v>1</v>
      </c>
      <c r="B162" s="5"/>
      <c r="F162" s="1">
        <f t="shared" si="13"/>
        <v>78</v>
      </c>
      <c r="G162" s="1" t="s">
        <v>131</v>
      </c>
      <c r="U162" s="27"/>
      <c r="V162" s="59"/>
      <c r="W162" s="70"/>
      <c r="X162" s="28"/>
      <c r="Y162" s="8"/>
      <c r="Z162" s="28"/>
      <c r="AA162" s="8"/>
      <c r="AB162" s="40"/>
      <c r="AC162" s="37"/>
      <c r="AD162" s="27"/>
      <c r="AE162" s="28"/>
      <c r="AF162" s="8"/>
      <c r="AG162" s="43"/>
      <c r="AH162" s="8"/>
      <c r="AI162" s="28"/>
      <c r="AJ162" s="29"/>
      <c r="AK162" s="45"/>
      <c r="AL162" s="45"/>
      <c r="AM162" s="45"/>
      <c r="AN162" s="45"/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</row>
    <row r="163" spans="1:52" s="86" customFormat="1" x14ac:dyDescent="0.3">
      <c r="A163" s="84"/>
      <c r="B163" s="85"/>
      <c r="F163" s="86">
        <f t="shared" si="13"/>
        <v>79</v>
      </c>
      <c r="G163" s="86" t="s">
        <v>31</v>
      </c>
      <c r="Q163" s="87"/>
      <c r="R163" s="88"/>
      <c r="S163" s="88"/>
      <c r="U163" s="89"/>
      <c r="V163" s="90"/>
      <c r="W163" s="90"/>
      <c r="X163" s="84"/>
      <c r="Y163" s="84"/>
      <c r="Z163" s="84"/>
      <c r="AA163" s="84"/>
      <c r="AB163" s="91"/>
      <c r="AC163" s="92"/>
      <c r="AD163" s="89"/>
      <c r="AE163" s="84"/>
      <c r="AF163" s="84"/>
      <c r="AG163" s="84"/>
      <c r="AH163" s="84"/>
      <c r="AI163" s="84"/>
      <c r="AJ163" s="92"/>
      <c r="AK163" s="45"/>
      <c r="AL163" s="45"/>
      <c r="AM163" s="45"/>
      <c r="AN163" s="45"/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</row>
    <row r="164" spans="1:52" x14ac:dyDescent="0.3">
      <c r="U164" s="27"/>
      <c r="V164" s="59"/>
      <c r="W164" s="70"/>
      <c r="X164" s="28"/>
      <c r="Y164" s="8"/>
      <c r="Z164" s="28"/>
      <c r="AA164" s="8"/>
      <c r="AB164" s="40"/>
      <c r="AC164" s="37"/>
      <c r="AD164" s="27"/>
      <c r="AE164" s="28"/>
      <c r="AF164" s="8"/>
      <c r="AG164" s="43"/>
      <c r="AH164" s="8"/>
      <c r="AI164" s="28"/>
      <c r="AJ164" s="29"/>
      <c r="AK164" s="45"/>
      <c r="AL164" s="45"/>
      <c r="AM164" s="45"/>
      <c r="AN164" s="45"/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</row>
    <row r="165" spans="1:52" x14ac:dyDescent="0.3">
      <c r="A165" s="12" t="s">
        <v>187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U165" s="27"/>
      <c r="V165" s="59"/>
      <c r="W165" s="70"/>
      <c r="X165" s="28"/>
      <c r="Y165" s="8"/>
      <c r="Z165" s="28"/>
      <c r="AA165" s="8"/>
      <c r="AB165" s="40"/>
      <c r="AC165" s="37"/>
      <c r="AD165" s="27"/>
      <c r="AE165" s="28"/>
      <c r="AF165" s="8"/>
      <c r="AG165" s="43"/>
      <c r="AH165" s="8"/>
      <c r="AI165" s="28"/>
      <c r="AJ165" s="29"/>
      <c r="AK165" s="45"/>
      <c r="AL165" s="45"/>
      <c r="AM165" s="45"/>
      <c r="AN165" s="45"/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</row>
    <row r="166" spans="1:52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106"/>
      <c r="P166" s="106"/>
      <c r="U166" s="27"/>
      <c r="V166" s="59"/>
      <c r="W166" s="70"/>
      <c r="X166" s="28"/>
      <c r="Y166" s="8"/>
      <c r="Z166" s="28"/>
      <c r="AA166" s="8"/>
      <c r="AB166" s="40"/>
      <c r="AC166" s="37"/>
      <c r="AD166" s="27"/>
      <c r="AE166" s="28"/>
      <c r="AF166" s="8"/>
      <c r="AG166" s="43"/>
      <c r="AH166" s="8"/>
      <c r="AI166" s="28"/>
      <c r="AJ166" s="29"/>
      <c r="AK166" s="45"/>
      <c r="AL166" s="45"/>
      <c r="AM166" s="45"/>
      <c r="AN166" s="45"/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</row>
    <row r="167" spans="1:52" x14ac:dyDescent="0.3">
      <c r="A167" s="22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U167" s="27"/>
      <c r="V167" s="59"/>
      <c r="W167" s="70"/>
      <c r="X167" s="28"/>
      <c r="Y167" s="8"/>
      <c r="Z167" s="28"/>
      <c r="AA167" s="8"/>
      <c r="AB167" s="40"/>
      <c r="AC167" s="37"/>
      <c r="AD167" s="27"/>
      <c r="AE167" s="28"/>
      <c r="AF167" s="8"/>
      <c r="AG167" s="43"/>
      <c r="AH167" s="8"/>
      <c r="AI167" s="28"/>
      <c r="AJ167" s="29"/>
      <c r="AK167" s="45"/>
      <c r="AL167" s="45"/>
      <c r="AM167" s="45"/>
      <c r="AN167" s="45"/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</row>
    <row r="168" spans="1:52" x14ac:dyDescent="0.3">
      <c r="A168" s="1"/>
      <c r="U168" s="27"/>
      <c r="V168" s="59"/>
      <c r="W168" s="70"/>
      <c r="X168" s="28"/>
      <c r="Y168" s="8"/>
      <c r="Z168" s="28"/>
      <c r="AA168" s="8"/>
      <c r="AB168" s="40"/>
      <c r="AC168" s="37"/>
      <c r="AD168" s="27"/>
      <c r="AE168" s="28"/>
      <c r="AF168" s="8"/>
      <c r="AG168" s="43"/>
      <c r="AH168" s="8"/>
      <c r="AI168" s="28"/>
      <c r="AJ168" s="29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</row>
    <row r="169" spans="1:52" x14ac:dyDescent="0.3">
      <c r="A169" s="9"/>
      <c r="B169" s="4" t="s">
        <v>11</v>
      </c>
      <c r="C169" s="3"/>
      <c r="D169" s="3"/>
      <c r="E169" s="3"/>
      <c r="F169" s="19" t="s">
        <v>132</v>
      </c>
      <c r="G169" s="14"/>
      <c r="H169" s="14"/>
      <c r="I169" s="14"/>
      <c r="J169" s="14"/>
      <c r="K169" s="14"/>
      <c r="L169" s="14"/>
      <c r="M169" s="14"/>
      <c r="N169" s="14"/>
      <c r="O169" s="16"/>
      <c r="P169" s="14"/>
      <c r="Q169" s="64">
        <f>SUM(A170:A174)</f>
        <v>4</v>
      </c>
      <c r="R169" s="151">
        <f>SUM(A170:A174)/4</f>
        <v>1</v>
      </c>
      <c r="S169" s="152"/>
      <c r="U169" s="27"/>
      <c r="V169" s="59"/>
      <c r="W169" s="70"/>
      <c r="X169" s="28"/>
      <c r="Y169" s="8"/>
      <c r="Z169" s="28"/>
      <c r="AA169" s="8"/>
      <c r="AB169" s="40"/>
      <c r="AC169" s="37"/>
      <c r="AD169" s="27"/>
      <c r="AE169" s="28"/>
      <c r="AF169" s="8"/>
      <c r="AG169" s="43"/>
      <c r="AH169" s="8"/>
      <c r="AI169" s="28"/>
      <c r="AJ169" s="29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</row>
    <row r="170" spans="1:52" x14ac:dyDescent="0.3">
      <c r="A170" s="8">
        <v>1</v>
      </c>
      <c r="B170" s="5" t="s">
        <v>133</v>
      </c>
      <c r="D170" s="1" t="s">
        <v>45</v>
      </c>
      <c r="F170" s="1">
        <f>F163</f>
        <v>79</v>
      </c>
      <c r="G170" s="1" t="s">
        <v>212</v>
      </c>
      <c r="P170" s="3"/>
      <c r="U170" s="27"/>
      <c r="V170" s="59"/>
      <c r="W170" s="70"/>
      <c r="X170" s="28"/>
      <c r="Y170" s="8"/>
      <c r="Z170" s="28"/>
      <c r="AA170" s="8"/>
      <c r="AB170" s="40"/>
      <c r="AC170" s="37"/>
      <c r="AD170" s="27"/>
      <c r="AE170" s="28"/>
      <c r="AF170" s="8"/>
      <c r="AG170" s="43"/>
      <c r="AH170" s="8"/>
      <c r="AI170" s="28"/>
      <c r="AJ170" s="29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</row>
    <row r="171" spans="1:52" s="74" customFormat="1" x14ac:dyDescent="0.3">
      <c r="A171" s="72">
        <v>1</v>
      </c>
      <c r="B171" s="73" t="s">
        <v>133</v>
      </c>
      <c r="D171" s="74" t="s">
        <v>134</v>
      </c>
      <c r="E171" s="82" t="s">
        <v>57</v>
      </c>
      <c r="F171" s="74">
        <f>F170+1</f>
        <v>80</v>
      </c>
      <c r="G171" s="74" t="s">
        <v>135</v>
      </c>
      <c r="Q171" s="75"/>
      <c r="R171" s="76"/>
      <c r="S171" s="76"/>
      <c r="U171" s="77"/>
      <c r="V171" s="78"/>
      <c r="W171" s="78"/>
      <c r="X171" s="72"/>
      <c r="Y171" s="72"/>
      <c r="Z171" s="72"/>
      <c r="AA171" s="72"/>
      <c r="AB171" s="79"/>
      <c r="AC171" s="80"/>
      <c r="AD171" s="77"/>
      <c r="AE171" s="72"/>
      <c r="AF171" s="72"/>
      <c r="AG171" s="72"/>
      <c r="AH171" s="72"/>
      <c r="AI171" s="72"/>
      <c r="AJ171" s="80"/>
      <c r="AK171" s="45"/>
      <c r="AL171" s="45"/>
      <c r="AM171" s="45"/>
      <c r="AN171" s="45"/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</row>
    <row r="172" spans="1:52" x14ac:dyDescent="0.3">
      <c r="A172" s="8">
        <v>1</v>
      </c>
      <c r="B172" s="5" t="s">
        <v>136</v>
      </c>
      <c r="F172" s="1">
        <f>F171+1</f>
        <v>81</v>
      </c>
      <c r="G172" s="1" t="s">
        <v>137</v>
      </c>
      <c r="U172" s="27"/>
      <c r="V172" s="59"/>
      <c r="W172" s="70"/>
      <c r="X172" s="28"/>
      <c r="Y172" s="8"/>
      <c r="Z172" s="28"/>
      <c r="AA172" s="8"/>
      <c r="AB172" s="40"/>
      <c r="AC172" s="37"/>
      <c r="AD172" s="27"/>
      <c r="AE172" s="28"/>
      <c r="AF172" s="8"/>
      <c r="AG172" s="43"/>
      <c r="AH172" s="8"/>
      <c r="AI172" s="28"/>
      <c r="AJ172" s="29"/>
      <c r="AK172" s="45"/>
      <c r="AL172" s="45"/>
      <c r="AM172" s="45"/>
      <c r="AN172" s="45"/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</row>
    <row r="173" spans="1:52" s="86" customFormat="1" x14ac:dyDescent="0.3">
      <c r="A173" s="84">
        <v>1</v>
      </c>
      <c r="B173" s="85" t="s">
        <v>136</v>
      </c>
      <c r="F173" s="86">
        <f>F172+1</f>
        <v>82</v>
      </c>
      <c r="G173" s="86" t="s">
        <v>138</v>
      </c>
      <c r="Q173" s="87"/>
      <c r="R173" s="88"/>
      <c r="S173" s="88"/>
      <c r="U173" s="89"/>
      <c r="V173" s="90"/>
      <c r="W173" s="90"/>
      <c r="X173" s="84"/>
      <c r="Y173" s="84"/>
      <c r="Z173" s="84"/>
      <c r="AA173" s="84"/>
      <c r="AB173" s="91"/>
      <c r="AC173" s="92"/>
      <c r="AD173" s="89"/>
      <c r="AE173" s="84"/>
      <c r="AF173" s="84"/>
      <c r="AG173" s="84"/>
      <c r="AH173" s="84"/>
      <c r="AI173" s="84"/>
      <c r="AJ173" s="92"/>
      <c r="AK173" s="45"/>
      <c r="AL173" s="45"/>
      <c r="AM173" s="45"/>
      <c r="AN173" s="45"/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</row>
    <row r="174" spans="1:52" x14ac:dyDescent="0.3">
      <c r="A174" s="8"/>
      <c r="B174" s="5"/>
      <c r="G174" s="1" t="s">
        <v>31</v>
      </c>
      <c r="U174" s="27"/>
      <c r="V174" s="59"/>
      <c r="W174" s="70"/>
      <c r="X174" s="28"/>
      <c r="Y174" s="8"/>
      <c r="Z174" s="28"/>
      <c r="AA174" s="8"/>
      <c r="AB174" s="40"/>
      <c r="AC174" s="37"/>
      <c r="AD174" s="27"/>
      <c r="AE174" s="28"/>
      <c r="AF174" s="8"/>
      <c r="AG174" s="43"/>
      <c r="AH174" s="8"/>
      <c r="AI174" s="28"/>
      <c r="AJ174" s="29"/>
      <c r="AK174" s="45"/>
      <c r="AL174" s="45"/>
      <c r="AM174" s="45"/>
      <c r="AN174" s="45"/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</row>
    <row r="175" spans="1:52" x14ac:dyDescent="0.3">
      <c r="U175" s="27"/>
      <c r="V175" s="59"/>
      <c r="W175" s="70"/>
      <c r="X175" s="28"/>
      <c r="Y175" s="8"/>
      <c r="Z175" s="28"/>
      <c r="AA175" s="8"/>
      <c r="AB175" s="40"/>
      <c r="AC175" s="37"/>
      <c r="AD175" s="27"/>
      <c r="AE175" s="28"/>
      <c r="AF175" s="8"/>
      <c r="AG175" s="43"/>
      <c r="AH175" s="8"/>
      <c r="AI175" s="28"/>
      <c r="AJ175" s="29"/>
      <c r="AK175" s="45"/>
      <c r="AL175" s="45"/>
      <c r="AM175" s="45"/>
      <c r="AN175" s="45"/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</row>
    <row r="176" spans="1:52" x14ac:dyDescent="0.3">
      <c r="A176" s="12" t="s">
        <v>32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U176" s="27"/>
      <c r="V176" s="59"/>
      <c r="W176" s="70"/>
      <c r="X176" s="28"/>
      <c r="Y176" s="8"/>
      <c r="Z176" s="28"/>
      <c r="AA176" s="8"/>
      <c r="AB176" s="40"/>
      <c r="AC176" s="37"/>
      <c r="AD176" s="27"/>
      <c r="AE176" s="28"/>
      <c r="AF176" s="8"/>
      <c r="AG176" s="43"/>
      <c r="AH176" s="8"/>
      <c r="AI176" s="28"/>
      <c r="AJ176" s="29"/>
      <c r="AK176" s="45"/>
      <c r="AL176" s="45"/>
      <c r="AM176" s="45"/>
      <c r="AN176" s="45"/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</row>
    <row r="177" spans="1:52" x14ac:dyDescent="0.3">
      <c r="A177" s="10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U177" s="27"/>
      <c r="V177" s="59"/>
      <c r="W177" s="70"/>
      <c r="X177" s="28"/>
      <c r="Y177" s="8"/>
      <c r="Z177" s="28"/>
      <c r="AA177" s="8"/>
      <c r="AB177" s="40"/>
      <c r="AC177" s="37"/>
      <c r="AD177" s="27"/>
      <c r="AE177" s="28"/>
      <c r="AF177" s="8"/>
      <c r="AG177" s="43"/>
      <c r="AH177" s="8"/>
      <c r="AI177" s="28"/>
      <c r="AJ177" s="29"/>
      <c r="AK177" s="45"/>
      <c r="AL177" s="45"/>
      <c r="AM177" s="45"/>
      <c r="AN177" s="45"/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</row>
    <row r="178" spans="1:52" ht="12.5" thickBot="1" x14ac:dyDescent="0.35">
      <c r="A178" s="10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U178" s="27"/>
      <c r="V178" s="59"/>
      <c r="W178" s="70"/>
      <c r="X178" s="28"/>
      <c r="Y178" s="8"/>
      <c r="Z178" s="28"/>
      <c r="AA178" s="8"/>
      <c r="AB178" s="40"/>
      <c r="AC178" s="37"/>
      <c r="AD178" s="27"/>
      <c r="AE178" s="28"/>
      <c r="AF178" s="8"/>
      <c r="AG178" s="43"/>
      <c r="AH178" s="8"/>
      <c r="AI178" s="28"/>
      <c r="AJ178" s="29"/>
      <c r="AK178" s="45"/>
      <c r="AL178" s="45"/>
      <c r="AM178" s="45"/>
      <c r="AN178" s="45"/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</row>
    <row r="179" spans="1:52" s="3" customFormat="1" ht="22.5" customHeight="1" x14ac:dyDescent="0.3">
      <c r="A179" s="183" t="s">
        <v>3</v>
      </c>
      <c r="B179" s="183"/>
      <c r="D179" s="13">
        <v>1</v>
      </c>
      <c r="E179" s="16" t="s">
        <v>4</v>
      </c>
      <c r="F179" s="16"/>
      <c r="G179" s="16"/>
      <c r="H179" s="16"/>
      <c r="K179" s="13">
        <v>0</v>
      </c>
      <c r="L179" s="16" t="s">
        <v>151</v>
      </c>
      <c r="M179" s="16"/>
      <c r="N179" s="16"/>
      <c r="O179" s="16"/>
      <c r="P179" s="16"/>
      <c r="Q179" s="65"/>
      <c r="R179" s="35"/>
      <c r="S179" s="35"/>
      <c r="U179" s="153"/>
      <c r="V179" s="154"/>
      <c r="W179" s="154"/>
      <c r="X179" s="154"/>
      <c r="Y179" s="154"/>
      <c r="Z179" s="154"/>
      <c r="AA179" s="154"/>
      <c r="AB179" s="154"/>
      <c r="AC179" s="155"/>
      <c r="AD179" s="156"/>
      <c r="AE179" s="157"/>
      <c r="AF179" s="157"/>
      <c r="AG179" s="157"/>
      <c r="AH179" s="157"/>
      <c r="AI179" s="157"/>
      <c r="AJ179" s="158"/>
      <c r="AK179" s="45"/>
      <c r="AL179" s="45"/>
      <c r="AM179" s="45"/>
      <c r="AN179" s="45"/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</row>
    <row r="180" spans="1:52" s="45" customFormat="1" ht="70.5" customHeight="1" x14ac:dyDescent="0.35">
      <c r="D180" s="54" t="s">
        <v>5</v>
      </c>
      <c r="E180" s="173" t="s">
        <v>6</v>
      </c>
      <c r="F180" s="174"/>
      <c r="G180" s="55"/>
      <c r="H180" s="56" t="s">
        <v>7</v>
      </c>
      <c r="I180" s="171" t="s">
        <v>8</v>
      </c>
      <c r="J180" s="172"/>
      <c r="L180" s="68" t="s">
        <v>9</v>
      </c>
      <c r="M180" s="178" t="s">
        <v>10</v>
      </c>
      <c r="N180" s="179"/>
      <c r="Q180" s="66"/>
      <c r="R180" s="46"/>
      <c r="S180" s="46"/>
      <c r="U180" s="47" t="str">
        <f>U5</f>
        <v>Mechanical Train</v>
      </c>
      <c r="V180" s="57" t="str">
        <f t="shared" ref="V180:AJ180" si="14">V5</f>
        <v>Electrical Train</v>
      </c>
      <c r="W180" s="61" t="str">
        <f t="shared" si="14"/>
        <v>Plumbing Tharp</v>
      </c>
      <c r="X180" s="48" t="str">
        <f t="shared" si="14"/>
        <v>B</v>
      </c>
      <c r="Y180" s="49" t="str">
        <f t="shared" si="14"/>
        <v>C</v>
      </c>
      <c r="Z180" s="48">
        <f t="shared" si="14"/>
        <v>0</v>
      </c>
      <c r="AA180" s="49">
        <f t="shared" si="14"/>
        <v>0</v>
      </c>
      <c r="AB180" s="50">
        <f t="shared" si="14"/>
        <v>0</v>
      </c>
      <c r="AC180" s="51" t="str">
        <f t="shared" si="14"/>
        <v>Loading Dock</v>
      </c>
      <c r="AD180" s="47">
        <f t="shared" si="14"/>
        <v>0</v>
      </c>
      <c r="AE180" s="48" t="str">
        <f t="shared" si="14"/>
        <v>Mechanical Train</v>
      </c>
      <c r="AF180" s="49" t="str">
        <f t="shared" si="14"/>
        <v>Electrical Train</v>
      </c>
      <c r="AG180" s="52" t="str">
        <f t="shared" si="14"/>
        <v>Plumbing Tharp</v>
      </c>
      <c r="AH180" s="53">
        <f t="shared" si="14"/>
        <v>0</v>
      </c>
      <c r="AI180" s="48">
        <f t="shared" si="14"/>
        <v>0</v>
      </c>
      <c r="AJ180" s="53">
        <f t="shared" si="14"/>
        <v>0</v>
      </c>
    </row>
    <row r="181" spans="1:52" x14ac:dyDescent="0.3">
      <c r="A181" s="9"/>
      <c r="B181" s="4" t="s">
        <v>11</v>
      </c>
      <c r="C181" s="3"/>
      <c r="D181" s="3"/>
      <c r="E181" s="3"/>
      <c r="F181" s="15" t="s">
        <v>213</v>
      </c>
      <c r="G181" s="14"/>
      <c r="H181" s="16"/>
      <c r="I181" s="16"/>
      <c r="J181" s="16"/>
      <c r="K181" s="16"/>
      <c r="L181" s="16"/>
      <c r="M181" s="16"/>
      <c r="N181" s="16"/>
      <c r="O181" s="16"/>
      <c r="P181" s="14"/>
      <c r="Q181" s="64">
        <f>SUM(A182:A186)</f>
        <v>5</v>
      </c>
      <c r="R181" s="151">
        <f>SUM(A182:A189)/5</f>
        <v>1</v>
      </c>
      <c r="S181" s="152"/>
      <c r="U181" s="27"/>
      <c r="V181" s="59"/>
      <c r="W181" s="70"/>
      <c r="X181" s="28"/>
      <c r="Y181" s="8"/>
      <c r="Z181" s="28"/>
      <c r="AA181" s="8"/>
      <c r="AB181" s="40"/>
      <c r="AC181" s="37"/>
      <c r="AD181" s="27"/>
      <c r="AE181" s="28"/>
      <c r="AF181" s="8"/>
      <c r="AG181" s="43"/>
      <c r="AH181" s="8"/>
      <c r="AI181" s="28"/>
      <c r="AJ181" s="29"/>
      <c r="AK181" s="45"/>
      <c r="AL181" s="45"/>
      <c r="AM181" s="45"/>
      <c r="AN181" s="45"/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</row>
    <row r="182" spans="1:52" x14ac:dyDescent="0.3">
      <c r="A182" s="8">
        <v>1</v>
      </c>
      <c r="B182" s="5" t="s">
        <v>139</v>
      </c>
      <c r="F182" s="1">
        <f>F173+1</f>
        <v>83</v>
      </c>
      <c r="G182" s="1" t="s">
        <v>214</v>
      </c>
      <c r="U182" s="27"/>
      <c r="V182" s="59"/>
      <c r="W182" s="70"/>
      <c r="X182" s="115"/>
      <c r="Y182" s="116"/>
      <c r="Z182" s="115"/>
      <c r="AA182" s="116"/>
      <c r="AB182" s="117"/>
      <c r="AC182" s="118"/>
      <c r="AD182" s="119"/>
      <c r="AE182" s="115"/>
      <c r="AF182" s="116"/>
      <c r="AG182" s="120"/>
      <c r="AH182" s="8"/>
      <c r="AI182" s="28"/>
      <c r="AJ182" s="29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</row>
    <row r="183" spans="1:52" s="74" customFormat="1" x14ac:dyDescent="0.3">
      <c r="A183" s="72">
        <v>1</v>
      </c>
      <c r="B183" s="73" t="s">
        <v>139</v>
      </c>
      <c r="D183" s="74" t="s">
        <v>48</v>
      </c>
      <c r="F183" s="74">
        <f>F182+1</f>
        <v>84</v>
      </c>
      <c r="G183" s="74" t="s">
        <v>154</v>
      </c>
      <c r="Q183" s="75"/>
      <c r="R183" s="76"/>
      <c r="S183" s="76"/>
      <c r="U183" s="77"/>
      <c r="V183" s="78"/>
      <c r="W183" s="78"/>
      <c r="X183" s="72"/>
      <c r="Y183" s="72"/>
      <c r="Z183" s="72"/>
      <c r="AA183" s="72"/>
      <c r="AB183" s="79"/>
      <c r="AC183" s="80"/>
      <c r="AD183" s="77"/>
      <c r="AE183" s="72"/>
      <c r="AF183" s="72"/>
      <c r="AG183" s="72"/>
      <c r="AH183" s="72"/>
      <c r="AI183" s="72"/>
      <c r="AJ183" s="80"/>
      <c r="AK183" s="45"/>
      <c r="AL183" s="45"/>
      <c r="AM183" s="45"/>
      <c r="AN183" s="45"/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</row>
    <row r="184" spans="1:52" x14ac:dyDescent="0.3">
      <c r="A184" s="8">
        <v>1</v>
      </c>
      <c r="B184" s="5" t="s">
        <v>140</v>
      </c>
      <c r="D184" s="1" t="s">
        <v>50</v>
      </c>
      <c r="F184" s="1">
        <f>F183+1</f>
        <v>85</v>
      </c>
      <c r="G184" s="1" t="s">
        <v>141</v>
      </c>
      <c r="U184" s="27"/>
      <c r="V184" s="59"/>
      <c r="W184" s="70"/>
      <c r="X184" s="28"/>
      <c r="Y184" s="8"/>
      <c r="Z184" s="28"/>
      <c r="AA184" s="8"/>
      <c r="AB184" s="40"/>
      <c r="AC184" s="37"/>
      <c r="AD184" s="27"/>
      <c r="AE184" s="28"/>
      <c r="AF184" s="8"/>
      <c r="AG184" s="43"/>
      <c r="AH184" s="8"/>
      <c r="AI184" s="28"/>
      <c r="AJ184" s="29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</row>
    <row r="185" spans="1:52" s="86" customFormat="1" x14ac:dyDescent="0.3">
      <c r="A185" s="84">
        <v>1</v>
      </c>
      <c r="B185" s="85"/>
      <c r="F185" s="86">
        <f>F184+1</f>
        <v>86</v>
      </c>
      <c r="G185" s="86" t="s">
        <v>142</v>
      </c>
      <c r="Q185" s="87"/>
      <c r="R185" s="88"/>
      <c r="S185" s="88"/>
      <c r="U185" s="89"/>
      <c r="V185" s="90"/>
      <c r="W185" s="90"/>
      <c r="X185" s="84"/>
      <c r="Y185" s="84"/>
      <c r="Z185" s="84"/>
      <c r="AA185" s="84"/>
      <c r="AB185" s="91"/>
      <c r="AC185" s="92"/>
      <c r="AD185" s="89"/>
      <c r="AE185" s="84"/>
      <c r="AF185" s="84"/>
      <c r="AG185" s="84"/>
      <c r="AH185" s="84"/>
      <c r="AI185" s="84"/>
      <c r="AJ185" s="92"/>
      <c r="AK185" s="45"/>
      <c r="AL185" s="45"/>
      <c r="AM185" s="45"/>
      <c r="AN185" s="45"/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</row>
    <row r="186" spans="1:52" x14ac:dyDescent="0.3">
      <c r="A186" s="8">
        <v>1</v>
      </c>
      <c r="B186" s="5"/>
      <c r="F186" s="1">
        <f>F184+1</f>
        <v>86</v>
      </c>
      <c r="G186" s="1" t="s">
        <v>31</v>
      </c>
      <c r="U186" s="27"/>
      <c r="V186" s="59"/>
      <c r="W186" s="70"/>
      <c r="X186" s="28"/>
      <c r="Y186" s="8"/>
      <c r="Z186" s="28"/>
      <c r="AA186" s="8"/>
      <c r="AB186" s="40"/>
      <c r="AC186" s="37"/>
      <c r="AD186" s="27"/>
      <c r="AE186" s="28"/>
      <c r="AF186" s="8"/>
      <c r="AG186" s="43"/>
      <c r="AH186" s="8"/>
      <c r="AI186" s="28"/>
      <c r="AJ186" s="29"/>
      <c r="AK186" s="45"/>
      <c r="AL186" s="45"/>
      <c r="AM186" s="45"/>
      <c r="AN186" s="45"/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</row>
    <row r="187" spans="1:52" x14ac:dyDescent="0.3">
      <c r="U187" s="27"/>
      <c r="V187" s="59"/>
      <c r="W187" s="70"/>
      <c r="X187" s="28"/>
      <c r="Y187" s="8"/>
      <c r="Z187" s="28"/>
      <c r="AA187" s="8"/>
      <c r="AB187" s="40"/>
      <c r="AC187" s="37"/>
      <c r="AD187" s="27"/>
      <c r="AE187" s="28"/>
      <c r="AF187" s="8"/>
      <c r="AG187" s="43"/>
      <c r="AH187" s="8"/>
      <c r="AI187" s="28"/>
      <c r="AJ187" s="29"/>
      <c r="AK187" s="45"/>
      <c r="AL187" s="45"/>
      <c r="AM187" s="45"/>
      <c r="AN187" s="45"/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</row>
    <row r="188" spans="1:52" x14ac:dyDescent="0.3">
      <c r="A188" s="12" t="s">
        <v>160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U188" s="27"/>
      <c r="V188" s="59"/>
      <c r="W188" s="70"/>
      <c r="X188" s="28"/>
      <c r="Y188" s="8"/>
      <c r="Z188" s="28"/>
      <c r="AA188" s="8"/>
      <c r="AB188" s="40"/>
      <c r="AC188" s="37"/>
      <c r="AD188" s="27"/>
      <c r="AE188" s="28"/>
      <c r="AF188" s="8"/>
      <c r="AG188" s="43"/>
      <c r="AH188" s="8"/>
      <c r="AI188" s="28"/>
      <c r="AJ188" s="29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</row>
    <row r="189" spans="1:52" x14ac:dyDescent="0.3">
      <c r="A189" s="121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U189" s="27"/>
      <c r="V189" s="59"/>
      <c r="W189" s="70"/>
      <c r="X189" s="28"/>
      <c r="Y189" s="8"/>
      <c r="Z189" s="28"/>
      <c r="AA189" s="8"/>
      <c r="AB189" s="40"/>
      <c r="AC189" s="37"/>
      <c r="AD189" s="27"/>
      <c r="AE189" s="28"/>
      <c r="AF189" s="8"/>
      <c r="AG189" s="43"/>
      <c r="AH189" s="8"/>
      <c r="AI189" s="28"/>
      <c r="AJ189" s="29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</row>
    <row r="190" spans="1:52" x14ac:dyDescent="0.3">
      <c r="A190" s="10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U190" s="27"/>
      <c r="V190" s="59"/>
      <c r="W190" s="70"/>
      <c r="X190" s="28"/>
      <c r="Y190" s="8"/>
      <c r="Z190" s="28"/>
      <c r="AA190" s="8"/>
      <c r="AB190" s="40"/>
      <c r="AC190" s="37"/>
      <c r="AD190" s="27"/>
      <c r="AE190" s="28"/>
      <c r="AF190" s="8"/>
      <c r="AG190" s="43"/>
      <c r="AH190" s="8"/>
      <c r="AI190" s="28"/>
      <c r="AJ190" s="29"/>
      <c r="AK190" s="45"/>
      <c r="AL190" s="45"/>
      <c r="AM190" s="45"/>
      <c r="AN190" s="45"/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</row>
    <row r="191" spans="1:52" x14ac:dyDescent="0.3">
      <c r="A191" s="1"/>
      <c r="U191" s="27"/>
      <c r="V191" s="59"/>
      <c r="W191" s="70"/>
      <c r="X191" s="28"/>
      <c r="Y191" s="8"/>
      <c r="Z191" s="28"/>
      <c r="AA191" s="8"/>
      <c r="AB191" s="40"/>
      <c r="AC191" s="37"/>
      <c r="AD191" s="27"/>
      <c r="AE191" s="28"/>
      <c r="AF191" s="8"/>
      <c r="AG191" s="43"/>
      <c r="AH191" s="8"/>
      <c r="AI191" s="28"/>
      <c r="AJ191" s="29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</row>
    <row r="192" spans="1:52" ht="14.5" x14ac:dyDescent="0.35">
      <c r="A192" s="9"/>
      <c r="B192" s="4" t="s">
        <v>11</v>
      </c>
      <c r="C192" s="3"/>
      <c r="D192" s="3"/>
      <c r="E192" s="3"/>
      <c r="F192" s="149" t="s">
        <v>174</v>
      </c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64">
        <f>SUM(A193:A196)</f>
        <v>4</v>
      </c>
      <c r="R192" s="151">
        <f>SUM(A193:A196)/4</f>
        <v>1</v>
      </c>
      <c r="S192" s="152"/>
      <c r="U192" s="27"/>
      <c r="V192" s="59"/>
      <c r="W192" s="70"/>
      <c r="X192" s="28"/>
      <c r="Y192" s="8"/>
      <c r="Z192" s="28"/>
      <c r="AA192" s="8"/>
      <c r="AB192" s="40"/>
      <c r="AC192" s="37"/>
      <c r="AD192" s="27"/>
      <c r="AE192" s="28"/>
      <c r="AF192" s="8"/>
      <c r="AG192" s="43"/>
      <c r="AH192" s="8"/>
      <c r="AI192" s="28"/>
      <c r="AJ192" s="29"/>
      <c r="AK192" s="45"/>
      <c r="AL192" s="45"/>
      <c r="AM192" s="45"/>
      <c r="AN192" s="45"/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</row>
    <row r="193" spans="1:52" x14ac:dyDescent="0.3">
      <c r="A193" s="8">
        <v>1</v>
      </c>
      <c r="B193" s="5"/>
      <c r="D193" s="1" t="s">
        <v>50</v>
      </c>
      <c r="F193" s="1">
        <f>F186+1</f>
        <v>87</v>
      </c>
      <c r="G193" s="1" t="s">
        <v>175</v>
      </c>
      <c r="U193" s="27"/>
      <c r="V193" s="59"/>
      <c r="W193" s="70"/>
      <c r="X193" s="28"/>
      <c r="Y193" s="8"/>
      <c r="Z193" s="28"/>
      <c r="AA193" s="8"/>
      <c r="AB193" s="40"/>
      <c r="AC193" s="37"/>
      <c r="AD193" s="27"/>
      <c r="AE193" s="28"/>
      <c r="AF193" s="8"/>
      <c r="AG193" s="43"/>
      <c r="AH193" s="8"/>
      <c r="AI193" s="28"/>
      <c r="AJ193" s="29"/>
      <c r="AK193" s="45"/>
      <c r="AL193" s="45"/>
      <c r="AM193" s="45"/>
      <c r="AN193" s="45"/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</row>
    <row r="194" spans="1:52" s="86" customFormat="1" ht="12.5" customHeight="1" x14ac:dyDescent="0.35">
      <c r="A194" s="84">
        <v>1</v>
      </c>
      <c r="B194" s="85"/>
      <c r="D194" s="86" t="s">
        <v>48</v>
      </c>
      <c r="F194" s="86">
        <f>F193+1</f>
        <v>88</v>
      </c>
      <c r="G194" s="187" t="s">
        <v>176</v>
      </c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U194" s="89"/>
      <c r="V194" s="90"/>
      <c r="W194" s="129" t="s">
        <v>5</v>
      </c>
      <c r="X194" s="84"/>
      <c r="Y194" s="84"/>
      <c r="Z194" s="84"/>
      <c r="AA194" s="84"/>
      <c r="AB194" s="91"/>
      <c r="AC194" s="92"/>
      <c r="AD194" s="89"/>
      <c r="AE194" s="84"/>
      <c r="AF194" s="84"/>
      <c r="AG194" s="84"/>
      <c r="AH194" s="84"/>
      <c r="AI194" s="84"/>
      <c r="AJ194" s="92"/>
      <c r="AK194" s="45"/>
      <c r="AL194" s="45"/>
      <c r="AM194" s="45"/>
      <c r="AN194" s="45"/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</row>
    <row r="195" spans="1:52" x14ac:dyDescent="0.3">
      <c r="A195" s="17">
        <v>1</v>
      </c>
      <c r="B195" s="5"/>
      <c r="D195" s="1" t="s">
        <v>45</v>
      </c>
      <c r="F195" s="1">
        <f>F194+1</f>
        <v>89</v>
      </c>
      <c r="G195" s="1" t="s">
        <v>143</v>
      </c>
      <c r="U195" s="27"/>
      <c r="V195" s="59"/>
      <c r="W195" s="70"/>
      <c r="X195" s="28"/>
      <c r="Y195" s="8"/>
      <c r="Z195" s="28"/>
      <c r="AA195" s="8"/>
      <c r="AB195" s="40"/>
      <c r="AC195" s="37"/>
      <c r="AD195" s="27"/>
      <c r="AE195" s="28"/>
      <c r="AF195" s="8"/>
      <c r="AG195" s="43"/>
      <c r="AH195" s="8"/>
      <c r="AI195" s="28"/>
      <c r="AJ195" s="29"/>
      <c r="AK195" s="45"/>
      <c r="AL195" s="45"/>
      <c r="AM195" s="45"/>
      <c r="AN195" s="45"/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</row>
    <row r="196" spans="1:52" s="74" customFormat="1" x14ac:dyDescent="0.3">
      <c r="A196" s="72">
        <v>1</v>
      </c>
      <c r="B196" s="73" t="s">
        <v>178</v>
      </c>
      <c r="D196" s="82"/>
      <c r="F196" s="74">
        <f>F195+1</f>
        <v>90</v>
      </c>
      <c r="G196" s="74" t="s">
        <v>177</v>
      </c>
      <c r="Q196" s="75"/>
      <c r="R196" s="76"/>
      <c r="S196" s="76"/>
      <c r="U196" s="77"/>
      <c r="V196" s="78"/>
      <c r="W196" s="78"/>
      <c r="X196" s="72"/>
      <c r="Y196" s="72"/>
      <c r="Z196" s="72"/>
      <c r="AA196" s="72"/>
      <c r="AB196" s="79"/>
      <c r="AC196" s="80"/>
      <c r="AD196" s="77"/>
      <c r="AE196" s="72"/>
      <c r="AF196" s="72"/>
      <c r="AG196" s="72"/>
      <c r="AH196" s="72"/>
      <c r="AI196" s="72"/>
      <c r="AJ196" s="80"/>
      <c r="AK196" s="45"/>
      <c r="AL196" s="45"/>
      <c r="AM196" s="45"/>
      <c r="AN196" s="45"/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</row>
    <row r="197" spans="1:52" x14ac:dyDescent="0.3">
      <c r="U197" s="27"/>
      <c r="V197" s="59"/>
      <c r="W197" s="70"/>
      <c r="X197" s="28"/>
      <c r="Y197" s="8"/>
      <c r="Z197" s="28"/>
      <c r="AA197" s="8"/>
      <c r="AB197" s="40"/>
      <c r="AC197" s="37"/>
      <c r="AD197" s="27"/>
      <c r="AE197" s="28"/>
      <c r="AF197" s="8"/>
      <c r="AG197" s="43"/>
      <c r="AH197" s="8"/>
      <c r="AI197" s="28"/>
      <c r="AJ197" s="29"/>
      <c r="AK197" s="45"/>
      <c r="AL197" s="45"/>
      <c r="AM197" s="45"/>
      <c r="AN197" s="45"/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</row>
    <row r="198" spans="1:52" x14ac:dyDescent="0.3">
      <c r="A198" s="12" t="s">
        <v>187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U198" s="27"/>
      <c r="V198" s="59"/>
      <c r="W198" s="70"/>
      <c r="X198" s="28"/>
      <c r="Y198" s="8"/>
      <c r="Z198" s="28"/>
      <c r="AA198" s="8"/>
      <c r="AB198" s="40"/>
      <c r="AC198" s="37"/>
      <c r="AD198" s="27"/>
      <c r="AE198" s="28"/>
      <c r="AF198" s="8"/>
      <c r="AG198" s="43"/>
      <c r="AH198" s="8"/>
      <c r="AI198" s="28"/>
      <c r="AJ198" s="29"/>
      <c r="AK198" s="45"/>
      <c r="AL198" s="45"/>
      <c r="AM198" s="45"/>
      <c r="AN198" s="45"/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</row>
    <row r="199" spans="1:52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106"/>
      <c r="P199" s="106"/>
      <c r="U199" s="27"/>
      <c r="V199" s="59"/>
      <c r="W199" s="70"/>
      <c r="X199" s="28"/>
      <c r="Y199" s="8"/>
      <c r="Z199" s="28"/>
      <c r="AA199" s="8"/>
      <c r="AB199" s="40"/>
      <c r="AC199" s="37"/>
      <c r="AD199" s="27"/>
      <c r="AE199" s="28"/>
      <c r="AF199" s="8"/>
      <c r="AG199" s="43"/>
      <c r="AH199" s="8"/>
      <c r="AI199" s="28"/>
      <c r="AJ199" s="29"/>
      <c r="AK199" s="45"/>
      <c r="AL199" s="45"/>
      <c r="AM199" s="45"/>
      <c r="AN199" s="45"/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</row>
    <row r="200" spans="1:52" x14ac:dyDescent="0.3">
      <c r="A200" s="2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U200" s="27"/>
      <c r="V200" s="59"/>
      <c r="W200" s="70"/>
      <c r="X200" s="28"/>
      <c r="Y200" s="8"/>
      <c r="Z200" s="28"/>
      <c r="AA200" s="8"/>
      <c r="AB200" s="40"/>
      <c r="AC200" s="37"/>
      <c r="AD200" s="27"/>
      <c r="AE200" s="28"/>
      <c r="AF200" s="8"/>
      <c r="AG200" s="43"/>
      <c r="AH200" s="8"/>
      <c r="AI200" s="28"/>
      <c r="AJ200" s="29"/>
      <c r="AK200" s="45"/>
      <c r="AL200" s="45"/>
      <c r="AM200" s="45"/>
      <c r="AN200" s="45"/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</row>
    <row r="201" spans="1:52" x14ac:dyDescent="0.3">
      <c r="A201" s="106" t="s">
        <v>182</v>
      </c>
      <c r="U201" s="27"/>
      <c r="V201" s="59"/>
      <c r="W201" s="70"/>
      <c r="X201" s="28"/>
      <c r="Y201" s="8"/>
      <c r="Z201" s="28"/>
      <c r="AA201" s="8"/>
      <c r="AB201" s="40"/>
      <c r="AC201" s="37"/>
      <c r="AD201" s="27"/>
      <c r="AE201" s="28"/>
      <c r="AF201" s="8"/>
      <c r="AG201" s="43"/>
      <c r="AH201" s="8"/>
      <c r="AI201" s="28"/>
      <c r="AJ201" s="29"/>
      <c r="AK201" s="45"/>
      <c r="AL201" s="45"/>
      <c r="AM201" s="45"/>
      <c r="AN201" s="45"/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</row>
    <row r="202" spans="1:52" ht="14.5" x14ac:dyDescent="0.35">
      <c r="A202" s="9"/>
      <c r="B202" s="4" t="s">
        <v>11</v>
      </c>
      <c r="C202" s="3"/>
      <c r="D202" s="3"/>
      <c r="E202" s="3"/>
      <c r="F202" s="149" t="s">
        <v>144</v>
      </c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64">
        <f>SUM(A203:A211)</f>
        <v>4</v>
      </c>
      <c r="R202" s="151">
        <f>SUM(A203:A217)/6</f>
        <v>0.66666666666666663</v>
      </c>
      <c r="S202" s="152"/>
      <c r="U202" s="27"/>
      <c r="V202" s="59"/>
      <c r="W202" s="70"/>
      <c r="X202" s="28"/>
      <c r="Y202" s="8"/>
      <c r="Z202" s="28"/>
      <c r="AA202" s="8"/>
      <c r="AB202" s="40"/>
      <c r="AC202" s="37"/>
      <c r="AD202" s="27"/>
      <c r="AE202" s="28"/>
      <c r="AF202" s="8"/>
      <c r="AG202" s="43"/>
      <c r="AH202" s="8"/>
      <c r="AI202" s="28"/>
      <c r="AJ202" s="29"/>
      <c r="AK202" s="45"/>
      <c r="AL202" s="45"/>
      <c r="AM202" s="45"/>
      <c r="AN202" s="45"/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</row>
    <row r="203" spans="1:52" x14ac:dyDescent="0.3">
      <c r="A203" s="8">
        <v>1</v>
      </c>
      <c r="B203" s="20">
        <v>103</v>
      </c>
      <c r="E203" s="6"/>
      <c r="F203" s="1">
        <f>F196+1</f>
        <v>91</v>
      </c>
      <c r="G203" s="1" t="s">
        <v>155</v>
      </c>
      <c r="U203" s="27"/>
      <c r="V203" s="59"/>
      <c r="W203" s="70"/>
      <c r="X203" s="28"/>
      <c r="Y203" s="8"/>
      <c r="Z203" s="28"/>
      <c r="AA203" s="8"/>
      <c r="AB203" s="40"/>
      <c r="AC203" s="37"/>
      <c r="AD203" s="27"/>
      <c r="AE203" s="28"/>
      <c r="AF203" s="8"/>
      <c r="AG203" s="43"/>
      <c r="AH203" s="8"/>
      <c r="AI203" s="28"/>
      <c r="AJ203" s="29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</row>
    <row r="204" spans="1:52" s="86" customFormat="1" x14ac:dyDescent="0.3">
      <c r="A204" s="84">
        <v>1</v>
      </c>
      <c r="B204" s="97">
        <v>104</v>
      </c>
      <c r="E204" s="93"/>
      <c r="F204" s="86">
        <f>F203+1</f>
        <v>92</v>
      </c>
      <c r="G204" s="86" t="s">
        <v>145</v>
      </c>
      <c r="Q204" s="87"/>
      <c r="R204" s="88"/>
      <c r="S204" s="88"/>
      <c r="U204" s="89"/>
      <c r="V204" s="90"/>
      <c r="W204" s="90"/>
      <c r="X204" s="84"/>
      <c r="Y204" s="84"/>
      <c r="Z204" s="84"/>
      <c r="AA204" s="84"/>
      <c r="AB204" s="91"/>
      <c r="AC204" s="92"/>
      <c r="AD204" s="89"/>
      <c r="AE204" s="84"/>
      <c r="AF204" s="84"/>
      <c r="AG204" s="84"/>
      <c r="AH204" s="84"/>
      <c r="AI204" s="84"/>
      <c r="AJ204" s="92"/>
      <c r="AK204" s="45"/>
      <c r="AL204" s="45"/>
      <c r="AM204" s="45"/>
      <c r="AN204" s="45"/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</row>
    <row r="205" spans="1:52" x14ac:dyDescent="0.3">
      <c r="A205" s="8">
        <v>1</v>
      </c>
      <c r="B205" s="20"/>
      <c r="E205" s="6"/>
      <c r="F205" s="1">
        <f t="shared" ref="F205:F207" si="15">F204+1</f>
        <v>93</v>
      </c>
      <c r="G205" s="1" t="s">
        <v>146</v>
      </c>
      <c r="Q205" s="1"/>
      <c r="R205" s="1"/>
      <c r="S205" s="1"/>
      <c r="U205" s="27"/>
      <c r="W205" s="127" t="s">
        <v>5</v>
      </c>
      <c r="X205" s="28"/>
      <c r="Y205" s="8"/>
      <c r="Z205" s="28"/>
      <c r="AA205" s="8"/>
      <c r="AB205" s="40"/>
      <c r="AC205" s="37"/>
      <c r="AD205" s="27"/>
      <c r="AE205" s="28"/>
      <c r="AF205" s="8"/>
      <c r="AG205" s="43"/>
      <c r="AH205" s="8"/>
      <c r="AI205" s="28"/>
      <c r="AJ205" s="29"/>
      <c r="AK205" s="45"/>
      <c r="AL205" s="45"/>
      <c r="AM205" s="45"/>
      <c r="AN205" s="45"/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</row>
    <row r="206" spans="1:52" s="74" customFormat="1" x14ac:dyDescent="0.3">
      <c r="A206" s="72">
        <v>1</v>
      </c>
      <c r="B206" s="99"/>
      <c r="E206" s="82"/>
      <c r="F206" s="74">
        <f t="shared" si="15"/>
        <v>94</v>
      </c>
      <c r="G206" s="74" t="s">
        <v>130</v>
      </c>
      <c r="Q206" s="75"/>
      <c r="R206" s="76"/>
      <c r="S206" s="76"/>
      <c r="U206" s="77"/>
      <c r="V206" s="78"/>
      <c r="W206" s="128"/>
      <c r="X206" s="72"/>
      <c r="Y206" s="72"/>
      <c r="Z206" s="72"/>
      <c r="AA206" s="72"/>
      <c r="AB206" s="79"/>
      <c r="AC206" s="80"/>
      <c r="AD206" s="77"/>
      <c r="AE206" s="72"/>
      <c r="AF206" s="72"/>
      <c r="AG206" s="72"/>
      <c r="AH206" s="72"/>
      <c r="AI206" s="72"/>
      <c r="AJ206" s="80"/>
      <c r="AK206" s="45"/>
      <c r="AL206" s="45"/>
      <c r="AM206" s="45"/>
      <c r="AN206" s="45"/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</row>
    <row r="207" spans="1:52" x14ac:dyDescent="0.3">
      <c r="A207" s="8"/>
      <c r="B207" s="20">
        <v>105</v>
      </c>
      <c r="F207" s="1">
        <f t="shared" si="15"/>
        <v>95</v>
      </c>
      <c r="G207" s="1" t="s">
        <v>147</v>
      </c>
      <c r="U207" s="27"/>
      <c r="V207" s="59"/>
      <c r="W207" s="70"/>
      <c r="X207" s="28"/>
      <c r="Y207" s="8"/>
      <c r="Z207" s="28"/>
      <c r="AA207" s="8"/>
      <c r="AB207" s="40"/>
      <c r="AC207" s="37"/>
      <c r="AD207" s="27"/>
      <c r="AE207" s="28"/>
      <c r="AF207" s="8"/>
      <c r="AG207" s="43"/>
      <c r="AH207" s="8"/>
      <c r="AI207" s="28"/>
      <c r="AJ207" s="29"/>
      <c r="AK207" s="45"/>
      <c r="AL207" s="45"/>
      <c r="AM207" s="45"/>
      <c r="AN207" s="45"/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</row>
    <row r="208" spans="1:52" s="86" customFormat="1" x14ac:dyDescent="0.3">
      <c r="A208" s="84"/>
      <c r="B208" s="97"/>
      <c r="F208" s="86">
        <f>F207+1</f>
        <v>96</v>
      </c>
      <c r="G208" s="86" t="s">
        <v>148</v>
      </c>
      <c r="Q208" s="87"/>
      <c r="R208" s="88"/>
      <c r="S208" s="88"/>
      <c r="U208" s="89"/>
      <c r="V208" s="90"/>
      <c r="W208" s="90"/>
      <c r="X208" s="84"/>
      <c r="Y208" s="84"/>
      <c r="Z208" s="84"/>
      <c r="AA208" s="84"/>
      <c r="AB208" s="91"/>
      <c r="AC208" s="92"/>
      <c r="AD208" s="89"/>
      <c r="AE208" s="84"/>
      <c r="AF208" s="84"/>
      <c r="AG208" s="84"/>
      <c r="AH208" s="84"/>
      <c r="AI208" s="84"/>
      <c r="AJ208" s="92"/>
      <c r="AK208" s="45"/>
      <c r="AL208" s="45"/>
      <c r="AM208" s="45"/>
      <c r="AN208" s="45"/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</row>
    <row r="209" spans="1:52" x14ac:dyDescent="0.3">
      <c r="A209" s="8"/>
      <c r="B209" s="20"/>
      <c r="F209" s="1">
        <f>F208+1</f>
        <v>97</v>
      </c>
      <c r="G209" s="1" t="s">
        <v>158</v>
      </c>
      <c r="U209" s="27"/>
      <c r="V209" s="59"/>
      <c r="W209" s="70"/>
      <c r="X209" s="28"/>
      <c r="Y209" s="8"/>
      <c r="Z209" s="28"/>
      <c r="AA209" s="8"/>
      <c r="AB209" s="40"/>
      <c r="AC209" s="37"/>
      <c r="AD209" s="27"/>
      <c r="AE209" s="28"/>
      <c r="AF209" s="8"/>
      <c r="AG209" s="43"/>
      <c r="AH209" s="8"/>
      <c r="AI209" s="28"/>
      <c r="AJ209" s="29"/>
      <c r="AK209" s="45"/>
      <c r="AL209" s="45"/>
      <c r="AM209" s="45"/>
      <c r="AN209" s="45"/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</row>
    <row r="210" spans="1:52" s="74" customFormat="1" x14ac:dyDescent="0.3">
      <c r="A210" s="72"/>
      <c r="B210" s="99"/>
      <c r="F210" s="74">
        <f t="shared" ref="F210:F212" si="16">F209+1</f>
        <v>98</v>
      </c>
      <c r="G210" s="74" t="s">
        <v>194</v>
      </c>
      <c r="Q210" s="75"/>
      <c r="R210" s="76"/>
      <c r="S210" s="76"/>
      <c r="U210" s="77"/>
      <c r="V210" s="78"/>
      <c r="W210" s="78"/>
      <c r="X210" s="72"/>
      <c r="Y210" s="72"/>
      <c r="Z210" s="72"/>
      <c r="AA210" s="72"/>
      <c r="AB210" s="79"/>
      <c r="AC210" s="80"/>
      <c r="AD210" s="77"/>
      <c r="AE210" s="72"/>
      <c r="AF210" s="72"/>
      <c r="AG210" s="72"/>
      <c r="AH210" s="72"/>
      <c r="AI210" s="72"/>
      <c r="AJ210" s="80"/>
      <c r="AK210" s="45"/>
      <c r="AL210" s="45"/>
      <c r="AM210" s="45"/>
      <c r="AN210" s="45"/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</row>
    <row r="211" spans="1:52" x14ac:dyDescent="0.3">
      <c r="A211" s="8"/>
      <c r="B211" s="20"/>
      <c r="F211" s="1">
        <f t="shared" si="16"/>
        <v>99</v>
      </c>
      <c r="U211" s="27"/>
      <c r="V211" s="59"/>
      <c r="W211" s="70"/>
      <c r="X211" s="28"/>
      <c r="Y211" s="8"/>
      <c r="Z211" s="28"/>
      <c r="AA211" s="8"/>
      <c r="AB211" s="40"/>
      <c r="AC211" s="37"/>
      <c r="AD211" s="27"/>
      <c r="AE211" s="28"/>
      <c r="AF211" s="8"/>
      <c r="AG211" s="43"/>
      <c r="AH211" s="8"/>
      <c r="AI211" s="28"/>
      <c r="AJ211" s="29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</row>
    <row r="212" spans="1:52" s="86" customFormat="1" x14ac:dyDescent="0.3">
      <c r="A212" s="84"/>
      <c r="B212" s="97"/>
      <c r="F212" s="98">
        <f t="shared" si="16"/>
        <v>100</v>
      </c>
      <c r="Q212" s="87"/>
      <c r="R212" s="88"/>
      <c r="S212" s="88"/>
      <c r="U212" s="89"/>
      <c r="V212" s="90"/>
      <c r="W212" s="90"/>
      <c r="X212" s="84"/>
      <c r="Y212" s="84"/>
      <c r="Z212" s="84"/>
      <c r="AA212" s="84"/>
      <c r="AB212" s="91"/>
      <c r="AC212" s="92"/>
      <c r="AD212" s="89"/>
      <c r="AE212" s="84"/>
      <c r="AF212" s="84"/>
      <c r="AG212" s="84"/>
      <c r="AH212" s="84"/>
      <c r="AI212" s="84"/>
      <c r="AJ212" s="92"/>
      <c r="AK212" s="45"/>
      <c r="AL212" s="45"/>
      <c r="AM212" s="45"/>
      <c r="AN212" s="45"/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</row>
    <row r="213" spans="1:52" x14ac:dyDescent="0.3">
      <c r="A213" s="1"/>
      <c r="U213" s="27"/>
      <c r="V213" s="59"/>
      <c r="W213" s="70"/>
      <c r="X213" s="28"/>
      <c r="Y213" s="8"/>
      <c r="Z213" s="28"/>
      <c r="AA213" s="8"/>
      <c r="AB213" s="40"/>
      <c r="AC213" s="37"/>
      <c r="AD213" s="27"/>
      <c r="AE213" s="28"/>
      <c r="AF213" s="8"/>
      <c r="AG213" s="43"/>
      <c r="AH213" s="8"/>
      <c r="AI213" s="28"/>
      <c r="AJ213" s="29"/>
      <c r="AK213" s="45"/>
      <c r="AL213" s="45"/>
      <c r="AM213" s="45"/>
      <c r="AN213" s="45"/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</row>
    <row r="214" spans="1:52" x14ac:dyDescent="0.3">
      <c r="A214" s="12" t="s">
        <v>187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U214" s="27"/>
      <c r="V214" s="59"/>
      <c r="W214" s="70"/>
      <c r="X214" s="28"/>
      <c r="Y214" s="8"/>
      <c r="Z214" s="28"/>
      <c r="AA214" s="8"/>
      <c r="AB214" s="40"/>
      <c r="AC214" s="37"/>
      <c r="AD214" s="27"/>
      <c r="AE214" s="28"/>
      <c r="AF214" s="8"/>
      <c r="AG214" s="43"/>
      <c r="AH214" s="8"/>
      <c r="AI214" s="28"/>
      <c r="AJ214" s="29"/>
      <c r="AK214" s="45"/>
      <c r="AL214" s="45"/>
      <c r="AM214" s="45"/>
      <c r="AN214" s="45"/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</row>
    <row r="215" spans="1:52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106"/>
      <c r="P215" s="106"/>
      <c r="U215" s="27"/>
      <c r="V215" s="59"/>
      <c r="W215" s="70"/>
      <c r="X215" s="28"/>
      <c r="Y215" s="8"/>
      <c r="Z215" s="28"/>
      <c r="AA215" s="8"/>
      <c r="AB215" s="40"/>
      <c r="AC215" s="37"/>
      <c r="AD215" s="27"/>
      <c r="AE215" s="28"/>
      <c r="AF215" s="8"/>
      <c r="AG215" s="43"/>
      <c r="AH215" s="8"/>
      <c r="AI215" s="28"/>
      <c r="AJ215" s="29"/>
      <c r="AK215" s="45"/>
      <c r="AL215" s="45"/>
      <c r="AM215" s="45"/>
      <c r="AN215" s="45"/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</row>
    <row r="216" spans="1:52" x14ac:dyDescent="0.3">
      <c r="A216" s="2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U216" s="27"/>
      <c r="V216" s="59"/>
      <c r="W216" s="70"/>
      <c r="X216" s="28"/>
      <c r="Y216" s="8"/>
      <c r="Z216" s="28"/>
      <c r="AA216" s="8"/>
      <c r="AB216" s="40"/>
      <c r="AC216" s="37"/>
      <c r="AD216" s="27"/>
      <c r="AE216" s="28"/>
      <c r="AF216" s="8"/>
      <c r="AG216" s="43"/>
      <c r="AH216" s="8"/>
      <c r="AI216" s="28"/>
      <c r="AJ216" s="29"/>
      <c r="AK216" s="45"/>
      <c r="AL216" s="45"/>
      <c r="AM216" s="45"/>
      <c r="AN216" s="45"/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</row>
    <row r="217" spans="1:52" ht="12.5" thickBot="1" x14ac:dyDescent="0.35">
      <c r="A217" s="1"/>
      <c r="U217" s="30"/>
      <c r="V217" s="60"/>
      <c r="W217" s="71"/>
      <c r="X217" s="31"/>
      <c r="Y217" s="32"/>
      <c r="Z217" s="31"/>
      <c r="AA217" s="32"/>
      <c r="AB217" s="41"/>
      <c r="AC217" s="38"/>
      <c r="AD217" s="30"/>
      <c r="AE217" s="31"/>
      <c r="AF217" s="32"/>
      <c r="AG217" s="44"/>
      <c r="AH217" s="32"/>
      <c r="AI217" s="31"/>
      <c r="AJ217" s="33"/>
      <c r="AK217" s="45"/>
      <c r="AL217" s="45"/>
      <c r="AM217" s="45"/>
      <c r="AN217" s="45"/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</row>
    <row r="218" spans="1:52" s="3" customFormat="1" ht="12" customHeight="1" x14ac:dyDescent="0.3">
      <c r="A218" s="9"/>
      <c r="Q218" s="65"/>
      <c r="R218" s="34"/>
      <c r="S218" s="34"/>
    </row>
    <row r="231" spans="18:19" x14ac:dyDescent="0.3">
      <c r="R231" s="35"/>
      <c r="S231" s="35"/>
    </row>
  </sheetData>
  <sortState xmlns:xlrd2="http://schemas.microsoft.com/office/spreadsheetml/2017/richdata2" ref="B152:L161">
    <sortCondition ref="B41:B50"/>
  </sortState>
  <mergeCells count="84">
    <mergeCell ref="G194:S194"/>
    <mergeCell ref="AK2:AL2"/>
    <mergeCell ref="AM2:AN2"/>
    <mergeCell ref="AO2:AP2"/>
    <mergeCell ref="AQ4:AR4"/>
    <mergeCell ref="U179:AC179"/>
    <mergeCell ref="AD179:AJ179"/>
    <mergeCell ref="U140:AC140"/>
    <mergeCell ref="AD140:AJ140"/>
    <mergeCell ref="AD75:AJ75"/>
    <mergeCell ref="U75:AC75"/>
    <mergeCell ref="R78:S78"/>
    <mergeCell ref="U105:AC105"/>
    <mergeCell ref="AD105:AJ105"/>
    <mergeCell ref="A150:S150"/>
    <mergeCell ref="A105:B105"/>
    <mergeCell ref="R62:S62"/>
    <mergeCell ref="E76:F76"/>
    <mergeCell ref="I76:J76"/>
    <mergeCell ref="M76:N76"/>
    <mergeCell ref="F192:P192"/>
    <mergeCell ref="E180:F180"/>
    <mergeCell ref="I180:J180"/>
    <mergeCell ref="M180:N180"/>
    <mergeCell ref="E106:F106"/>
    <mergeCell ref="I106:J106"/>
    <mergeCell ref="M106:N106"/>
    <mergeCell ref="E141:F141"/>
    <mergeCell ref="I141:J141"/>
    <mergeCell ref="M141:N141"/>
    <mergeCell ref="A34:B34"/>
    <mergeCell ref="A2:C2"/>
    <mergeCell ref="A4:B4"/>
    <mergeCell ref="R202:S202"/>
    <mergeCell ref="R192:S192"/>
    <mergeCell ref="R181:S181"/>
    <mergeCell ref="R169:S169"/>
    <mergeCell ref="R153:S153"/>
    <mergeCell ref="F202:P202"/>
    <mergeCell ref="F153:P153"/>
    <mergeCell ref="E35:F35"/>
    <mergeCell ref="I35:J35"/>
    <mergeCell ref="M35:N35"/>
    <mergeCell ref="A151:S151"/>
    <mergeCell ref="A179:B179"/>
    <mergeCell ref="A140:B140"/>
    <mergeCell ref="X1:AJ1"/>
    <mergeCell ref="AC2:AI2"/>
    <mergeCell ref="R2:AB2"/>
    <mergeCell ref="F78:P78"/>
    <mergeCell ref="I5:J5"/>
    <mergeCell ref="E5:F5"/>
    <mergeCell ref="U34:AC34"/>
    <mergeCell ref="AD34:AJ34"/>
    <mergeCell ref="R22:S22"/>
    <mergeCell ref="R6:S6"/>
    <mergeCell ref="A1:R1"/>
    <mergeCell ref="F6:P6"/>
    <mergeCell ref="F22:P22"/>
    <mergeCell ref="M5:N5"/>
    <mergeCell ref="E2:I2"/>
    <mergeCell ref="A75:B75"/>
    <mergeCell ref="AK1:AL1"/>
    <mergeCell ref="F142:P142"/>
    <mergeCell ref="R142:S142"/>
    <mergeCell ref="U4:AC4"/>
    <mergeCell ref="AD4:AJ4"/>
    <mergeCell ref="L2:P2"/>
    <mergeCell ref="AK4:AP4"/>
    <mergeCell ref="F49:P49"/>
    <mergeCell ref="R49:S49"/>
    <mergeCell ref="F130:P130"/>
    <mergeCell ref="R130:S130"/>
    <mergeCell ref="R36:S36"/>
    <mergeCell ref="R107:S107"/>
    <mergeCell ref="R120:S120"/>
    <mergeCell ref="R91:S91"/>
    <mergeCell ref="F62:P62"/>
    <mergeCell ref="AK11:AR11"/>
    <mergeCell ref="AK6:AR6"/>
    <mergeCell ref="AK7:AR7"/>
    <mergeCell ref="AK8:AR8"/>
    <mergeCell ref="AK9:AR9"/>
    <mergeCell ref="AK10:AR10"/>
  </mergeCells>
  <phoneticPr fontId="28" type="noConversion"/>
  <pageMargins left="0.25" right="0.25" top="0.75" bottom="0.75" header="0.3" footer="0.3"/>
  <pageSetup scale="83" orientation="landscape" r:id="rId1"/>
  <headerFooter>
    <oddHeader>&amp;CIMS Environmental, Health and Safety Compliance</oddHeader>
    <oddFooter>&amp;CBy Able Safety Consulting, LLC</oddFooter>
  </headerFooter>
  <rowBreaks count="5" manualBreakCount="5">
    <brk id="33" max="16383" man="1"/>
    <brk id="74" max="43" man="1"/>
    <brk id="104" max="16383" man="1"/>
    <brk id="139" max="16383" man="1"/>
    <brk id="17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1926-Construction</vt:lpstr>
      <vt:lpstr>'1926-Construction'!Print_Area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Zusy Simpson</dc:creator>
  <cp:lastModifiedBy>Carrieri, Manira A</cp:lastModifiedBy>
  <cp:revision/>
  <cp:lastPrinted>2016-07-27T10:46:28Z</cp:lastPrinted>
  <dcterms:created xsi:type="dcterms:W3CDTF">2011-11-19T13:46:00Z</dcterms:created>
  <dcterms:modified xsi:type="dcterms:W3CDTF">2024-08-30T14:29:20Z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11b088-3f42-44d0-a854-e5bf7348cf6a_Enabled">
    <vt:lpwstr>true</vt:lpwstr>
  </property>
  <property fmtid="{D5CDD505-2E9C-101B-9397-08002B2CF9AE}" pid="3" name="MSIP_Label_1c11b088-3f42-44d0-a854-e5bf7348cf6a_SetDate">
    <vt:lpwstr>2023-02-19T17:39:56Z</vt:lpwstr>
  </property>
  <property fmtid="{D5CDD505-2E9C-101B-9397-08002B2CF9AE}" pid="4" name="MSIP_Label_1c11b088-3f42-44d0-a854-e5bf7348cf6a_Method">
    <vt:lpwstr>Standard</vt:lpwstr>
  </property>
  <property fmtid="{D5CDD505-2E9C-101B-9397-08002B2CF9AE}" pid="5" name="MSIP_Label_1c11b088-3f42-44d0-a854-e5bf7348cf6a_Name">
    <vt:lpwstr>Yellow Data - NA</vt:lpwstr>
  </property>
  <property fmtid="{D5CDD505-2E9C-101B-9397-08002B2CF9AE}" pid="6" name="MSIP_Label_1c11b088-3f42-44d0-a854-e5bf7348cf6a_SiteId">
    <vt:lpwstr>fffcdc91-d561-4287-aebc-78d2466eec29</vt:lpwstr>
  </property>
  <property fmtid="{D5CDD505-2E9C-101B-9397-08002B2CF9AE}" pid="7" name="MSIP_Label_1c11b088-3f42-44d0-a854-e5bf7348cf6a_ActionId">
    <vt:lpwstr>fad5d93b-f9fd-4960-a116-f3e46451d2e4</vt:lpwstr>
  </property>
  <property fmtid="{D5CDD505-2E9C-101B-9397-08002B2CF9AE}" pid="8" name="MSIP_Label_1c11b088-3f42-44d0-a854-e5bf7348cf6a_ContentBits">
    <vt:lpwstr>0</vt:lpwstr>
  </property>
</Properties>
</file>